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C:\Users\Djoze\Desktop\"/>
    </mc:Choice>
  </mc:AlternateContent>
  <xr:revisionPtr revIDLastSave="0" documentId="13_ncr:1_{E85DCFCC-0CD9-413E-9491-0096A124168D}" xr6:coauthVersionLast="47" xr6:coauthVersionMax="47" xr10:uidLastSave="{00000000-0000-0000-0000-000000000000}"/>
  <bookViews>
    <workbookView xWindow="-120" yWindow="-120" windowWidth="29040" windowHeight="15840" xr2:uid="{A39F8570-28C7-47D8-A37E-4229D3099AF0}"/>
  </bookViews>
  <sheets>
    <sheet name="Dashboard" sheetId="1" r:id="rId1"/>
    <sheet name="Expenses" sheetId="9" r:id="rId2"/>
    <sheet name="Income" sheetId="10" r:id="rId3"/>
    <sheet name="Analysis" sheetId="8" r:id="rId4"/>
    <sheet name="Transactions" sheetId="4" r:id="rId5"/>
    <sheet name="Data Validation" sheetId="3" r:id="rId6"/>
  </sheets>
  <definedNames>
    <definedName name="_xlnm._FilterDatabase" localSheetId="4" hidden="1">Transactions!$A$1:$G$1</definedName>
    <definedName name="_xlchart.v1.2" hidden="1">Analysis!$V$5:$V$30</definedName>
    <definedName name="_xlchart.v1.3" hidden="1">Analysis!$W$3:$W$4</definedName>
    <definedName name="_xlchart.v1.4" hidden="1">Analysis!$W$5:$W$30</definedName>
    <definedName name="_xlchart.v5.0" hidden="1">Analysis!$Y$4:$Y$14</definedName>
    <definedName name="_xlchart.v5.1" hidden="1">Analysis!$Z$4:$Z$14</definedName>
    <definedName name="listCat">#REF!</definedName>
    <definedName name="listSubCat">#REF!</definedName>
    <definedName name="listType">#REF!</definedName>
    <definedName name="Slicer_Category">#N/A</definedName>
    <definedName name="Slicer_Months">#N/A</definedName>
  </definedNames>
  <calcPr calcId="191029"/>
  <pivotCaches>
    <pivotCache cacheId="14"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111"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2" i="4"/>
  <c r="AA9" i="8" l="1"/>
  <c r="AI4" i="8"/>
  <c r="X17" i="8" s="1"/>
  <c r="AG2" i="8"/>
  <c r="AG1" i="8"/>
  <c r="AG4" i="8" l="1"/>
  <c r="I28" i="1"/>
  <c r="J28" i="1"/>
  <c r="K28" i="1" s="1"/>
  <c r="I29" i="1"/>
  <c r="J29" i="1"/>
  <c r="K29" i="1" s="1"/>
  <c r="I30" i="1"/>
  <c r="J30" i="1"/>
  <c r="K30" i="1" s="1"/>
  <c r="I31" i="1"/>
  <c r="J31" i="1"/>
  <c r="K31" i="1" s="1"/>
  <c r="I32" i="1"/>
  <c r="J32" i="1"/>
  <c r="K32" i="1" s="1"/>
</calcChain>
</file>

<file path=xl/sharedStrings.xml><?xml version="1.0" encoding="utf-8"?>
<sst xmlns="http://schemas.openxmlformats.org/spreadsheetml/2006/main" count="741" uniqueCount="170">
  <si>
    <t>Category Type</t>
  </si>
  <si>
    <t>Category</t>
  </si>
  <si>
    <t>Sub-Category</t>
  </si>
  <si>
    <t>Expense</t>
  </si>
  <si>
    <t>Activities</t>
  </si>
  <si>
    <t>Toys</t>
  </si>
  <si>
    <t>Other</t>
  </si>
  <si>
    <t>Debt</t>
  </si>
  <si>
    <t>Credit cards</t>
  </si>
  <si>
    <t>Student loans</t>
  </si>
  <si>
    <t>Other loans</t>
  </si>
  <si>
    <t>Education</t>
  </si>
  <si>
    <t>Tuition</t>
  </si>
  <si>
    <t>Books</t>
  </si>
  <si>
    <t>Entertainment</t>
  </si>
  <si>
    <t>Games</t>
  </si>
  <si>
    <t>Hobbies</t>
  </si>
  <si>
    <t>Movies</t>
  </si>
  <si>
    <t>Music</t>
  </si>
  <si>
    <t>Gambling</t>
  </si>
  <si>
    <t>Sports</t>
  </si>
  <si>
    <t>Everyday</t>
  </si>
  <si>
    <t>Groceries</t>
  </si>
  <si>
    <t>Restaurants</t>
  </si>
  <si>
    <t>Clothes</t>
  </si>
  <si>
    <t>Subscriptions</t>
  </si>
  <si>
    <t>Gifts</t>
  </si>
  <si>
    <t>Health</t>
  </si>
  <si>
    <t>Gym</t>
  </si>
  <si>
    <t>Supplements</t>
  </si>
  <si>
    <t>Pharmacy</t>
  </si>
  <si>
    <t>Emergency</t>
  </si>
  <si>
    <t>Home</t>
  </si>
  <si>
    <t>Appliances</t>
  </si>
  <si>
    <t>Rent</t>
  </si>
  <si>
    <t>Furnishings</t>
  </si>
  <si>
    <t>Supplies</t>
  </si>
  <si>
    <t>Maintenance</t>
  </si>
  <si>
    <t>Improvements</t>
  </si>
  <si>
    <t>Moving</t>
  </si>
  <si>
    <t>Insurance</t>
  </si>
  <si>
    <t>Car</t>
  </si>
  <si>
    <t>Life</t>
  </si>
  <si>
    <t>Loans</t>
  </si>
  <si>
    <t>Payments</t>
  </si>
  <si>
    <t>Tobacco</t>
  </si>
  <si>
    <t>Withdrawal</t>
  </si>
  <si>
    <t>Pets</t>
  </si>
  <si>
    <t>Food</t>
  </si>
  <si>
    <t>Technology</t>
  </si>
  <si>
    <t>Hardware</t>
  </si>
  <si>
    <t>Software</t>
  </si>
  <si>
    <t>Fuel</t>
  </si>
  <si>
    <t>Repairs</t>
  </si>
  <si>
    <t>Taxes</t>
  </si>
  <si>
    <t>Tolls</t>
  </si>
  <si>
    <t>Travel</t>
  </si>
  <si>
    <t>Airfare</t>
  </si>
  <si>
    <t>Hotels</t>
  </si>
  <si>
    <t>Utilities</t>
  </si>
  <si>
    <t>Phone</t>
  </si>
  <si>
    <t>TV</t>
  </si>
  <si>
    <t>Internet</t>
  </si>
  <si>
    <t>Electricity</t>
  </si>
  <si>
    <t>Water</t>
  </si>
  <si>
    <t>Income</t>
  </si>
  <si>
    <t>Dividends</t>
  </si>
  <si>
    <t>Repayments</t>
  </si>
  <si>
    <t>Refunds</t>
  </si>
  <si>
    <t>Wages</t>
  </si>
  <si>
    <t>Paycheck</t>
  </si>
  <si>
    <t>Bonus</t>
  </si>
  <si>
    <t>Commission</t>
  </si>
  <si>
    <t>Date</t>
  </si>
  <si>
    <t>Description</t>
  </si>
  <si>
    <t>Amount</t>
  </si>
  <si>
    <t>D/C</t>
  </si>
  <si>
    <t>Bolt</t>
  </si>
  <si>
    <t>Levantamento</t>
  </si>
  <si>
    <t>Jantar c Pedro e Rita - Malta</t>
  </si>
  <si>
    <t>Almoço c Pai e Zita</t>
  </si>
  <si>
    <t>Comer no Aeroporto</t>
  </si>
  <si>
    <t>Amazon Prime</t>
  </si>
  <si>
    <t>Birras c MTG ppz</t>
  </si>
  <si>
    <t>Balança e Batedeira</t>
  </si>
  <si>
    <t>Comer no Aviao</t>
  </si>
  <si>
    <t>Prota + Manteiga de amendoim em po</t>
  </si>
  <si>
    <t>Manatraders</t>
  </si>
  <si>
    <t>MTGO Tix</t>
  </si>
  <si>
    <t>1xbet</t>
  </si>
  <si>
    <t>Coursera</t>
  </si>
  <si>
    <t>Row Labels</t>
  </si>
  <si>
    <t>Sum of Amount</t>
  </si>
  <si>
    <t>Transport</t>
  </si>
  <si>
    <t>Total</t>
  </si>
  <si>
    <t>Lessons</t>
  </si>
  <si>
    <t>Shows</t>
  </si>
  <si>
    <t>Theater</t>
  </si>
  <si>
    <t>Personal Supplies</t>
  </si>
  <si>
    <t>Laundry</t>
  </si>
  <si>
    <t>Hair</t>
  </si>
  <si>
    <t>Donations</t>
  </si>
  <si>
    <t>Doctors</t>
  </si>
  <si>
    <t>Specialty Care</t>
  </si>
  <si>
    <t>Lawn</t>
  </si>
  <si>
    <t>Vet</t>
  </si>
  <si>
    <t>Online Services</t>
  </si>
  <si>
    <t>Car Payments</t>
  </si>
  <si>
    <t>Public Transit</t>
  </si>
  <si>
    <t>Heat</t>
  </si>
  <si>
    <t>Transfer from Savings</t>
  </si>
  <si>
    <t>Interest Income</t>
  </si>
  <si>
    <t>School Books</t>
  </si>
  <si>
    <t>Buy MKM</t>
  </si>
  <si>
    <t>Sell MKM</t>
  </si>
  <si>
    <t>Gift Given</t>
  </si>
  <si>
    <t>Gift Received</t>
  </si>
  <si>
    <t>Car Taxes</t>
  </si>
  <si>
    <t>Home Supplies</t>
  </si>
  <si>
    <t>Pet Food</t>
  </si>
  <si>
    <t>1st + 2nd drop down</t>
  </si>
  <si>
    <t>expenses sub categories</t>
  </si>
  <si>
    <t>income sub categories</t>
  </si>
  <si>
    <t>Other Income</t>
  </si>
  <si>
    <t>Grand Total</t>
  </si>
  <si>
    <t>jun</t>
  </si>
  <si>
    <t>jul</t>
  </si>
  <si>
    <t>ago</t>
  </si>
  <si>
    <t>set</t>
  </si>
  <si>
    <t>Column Labels</t>
  </si>
  <si>
    <t>Sum of D/C</t>
  </si>
  <si>
    <t>Starting amount</t>
  </si>
  <si>
    <t>Months</t>
  </si>
  <si>
    <t>(All)</t>
  </si>
  <si>
    <t>out</t>
  </si>
  <si>
    <t>Selo Carro</t>
  </si>
  <si>
    <t>Telemovel</t>
  </si>
  <si>
    <t>Mensalidade WoW</t>
  </si>
  <si>
    <t>Renda</t>
  </si>
  <si>
    <t>PGSharp</t>
  </si>
  <si>
    <t>Pokemon Home</t>
  </si>
  <si>
    <t>Emprestimo Vasco</t>
  </si>
  <si>
    <t>WoW Expansion - Dragonflight</t>
  </si>
  <si>
    <t>WoW Warlock Boost</t>
  </si>
  <si>
    <t>MTG - Pre Release</t>
  </si>
  <si>
    <t>Emprestimo Nana - Bilhete Autocarro</t>
  </si>
  <si>
    <t>MTG - Cartas Pioneer</t>
  </si>
  <si>
    <t>MTG - CFB Pro</t>
  </si>
  <si>
    <t>Devolução Vasco - Cartas Vendidas</t>
  </si>
  <si>
    <t>MTG - Torneio Pioneer</t>
  </si>
  <si>
    <t>Gasolina</t>
  </si>
  <si>
    <t>Portagens - Torneio Pioneer</t>
  </si>
  <si>
    <t>Refeição c MTG ppz</t>
  </si>
  <si>
    <t>Despedida Solteiro basilio</t>
  </si>
  <si>
    <t>Bricolage</t>
  </si>
  <si>
    <t>Cabos usb/colunas mae/tabuleiros gelo/powerbank/jogo chaves/suporte telemovel</t>
  </si>
  <si>
    <t>CTT - Envelopes</t>
  </si>
  <si>
    <t>CTT - Envio</t>
  </si>
  <si>
    <t>Devolução Vasco - Boosters Vendidos</t>
  </si>
  <si>
    <t>Tabaco</t>
  </si>
  <si>
    <t>Month</t>
  </si>
  <si>
    <t>Expenses</t>
  </si>
  <si>
    <t>CTT Envio Correio Azul</t>
  </si>
  <si>
    <t>MTG - Torneio Modern</t>
  </si>
  <si>
    <t>Café c Ivo e Vasco</t>
  </si>
  <si>
    <t>Pingo Doce - Ressacos</t>
  </si>
  <si>
    <t>CTT Envio Correio Internacional</t>
  </si>
  <si>
    <t>Pingo Doce - Jantar casa Pedro</t>
  </si>
  <si>
    <t>Venda - Microfone Vasco</t>
  </si>
  <si>
    <t>CTT - Desalfandegamento Compra 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</si>
</sst>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 #,##0.00\ &quot;€&quot;_-;\-* #,##0.00\ &quot;€&quot;_-;_-* &quot;-&quot;??\ &quot;€&quot;_-;_-@_-"/>
    <numFmt numFmtId="164" formatCode="_-* #,##0\ [$€-816]_-;\-* #,##0\ [$€-816]_-;_-* &quot;-&quot;??\ [$€-816]_-;_-@_-"/>
    <numFmt numFmtId="165" formatCode="_-* #,##0\ &quot;€&quot;_-;\-* #,##0\ &quot;€&quot;_-;_-* &quot;-&quot;??\ &quot;€&quot;_-;_-@_-"/>
    <numFmt numFmtId="166" formatCode="#,##0.00\ &quot;€&quot;"/>
  </numFmts>
  <fonts count="11" x14ac:knownFonts="1">
    <font>
      <sz val="11"/>
      <color theme="1"/>
      <name val="Calibri"/>
      <family val="2"/>
      <scheme val="minor"/>
    </font>
    <font>
      <sz val="11"/>
      <color theme="1"/>
      <name val="Lucida Sans Unicode"/>
      <family val="2"/>
    </font>
    <font>
      <sz val="8"/>
      <name val="Calibri"/>
      <family val="2"/>
      <scheme val="minor"/>
    </font>
    <font>
      <sz val="11"/>
      <color theme="1"/>
      <name val="Calibri"/>
      <family val="2"/>
      <scheme val="minor"/>
    </font>
    <font>
      <b/>
      <sz val="11"/>
      <color theme="1"/>
      <name val="Calibri"/>
      <family val="2"/>
      <scheme val="minor"/>
    </font>
    <font>
      <sz val="11"/>
      <color theme="9"/>
      <name val="Lucida Sans Unicode"/>
      <family val="2"/>
    </font>
    <font>
      <sz val="11"/>
      <color theme="8"/>
      <name val="Lucida Sans Unicode"/>
      <family val="2"/>
    </font>
    <font>
      <b/>
      <sz val="10"/>
      <color theme="0"/>
      <name val="Arial"/>
      <family val="2"/>
    </font>
    <font>
      <sz val="11"/>
      <color theme="9"/>
      <name val="Calibri"/>
      <family val="2"/>
      <scheme val="minor"/>
    </font>
    <font>
      <sz val="10"/>
      <color theme="7"/>
      <name val="Arial"/>
      <family val="2"/>
    </font>
    <font>
      <sz val="11"/>
      <color theme="7"/>
      <name val="Calibri"/>
      <family val="2"/>
      <scheme val="minor"/>
    </font>
  </fonts>
  <fills count="7">
    <fill>
      <patternFill patternType="none"/>
    </fill>
    <fill>
      <patternFill patternType="gray125"/>
    </fill>
    <fill>
      <patternFill patternType="solid">
        <fgColor theme="9"/>
        <bgColor indexed="64"/>
      </patternFill>
    </fill>
    <fill>
      <patternFill patternType="solid">
        <fgColor theme="4" tint="0.79998168889431442"/>
        <bgColor theme="4" tint="0.79998168889431442"/>
      </patternFill>
    </fill>
    <fill>
      <patternFill patternType="solid">
        <fgColor theme="1"/>
        <bgColor theme="1"/>
      </patternFill>
    </fill>
    <fill>
      <patternFill patternType="solid">
        <fgColor theme="7"/>
        <bgColor theme="0" tint="-0.14999847407452621"/>
      </patternFill>
    </fill>
    <fill>
      <patternFill patternType="solid">
        <fgColor theme="7"/>
        <bgColor indexed="64"/>
      </patternFill>
    </fill>
  </fills>
  <borders count="5">
    <border>
      <left/>
      <right/>
      <top/>
      <bottom/>
      <diagonal/>
    </border>
    <border>
      <left/>
      <right/>
      <top/>
      <bottom style="thin">
        <color theme="4" tint="0.39997558519241921"/>
      </bottom>
      <diagonal/>
    </border>
    <border>
      <left/>
      <right/>
      <top style="thin">
        <color theme="4" tint="0.39997558519241921"/>
      </top>
      <bottom/>
      <diagonal/>
    </border>
    <border>
      <left style="medium">
        <color rgb="FFCCCCCC"/>
      </left>
      <right style="medium">
        <color rgb="FFCCCCCC"/>
      </right>
      <top style="medium">
        <color rgb="FFCCCCCC"/>
      </top>
      <bottom style="medium">
        <color theme="1"/>
      </bottom>
      <diagonal/>
    </border>
    <border>
      <left style="thin">
        <color theme="1"/>
      </left>
      <right style="medium">
        <color rgb="FFCCCCCC"/>
      </right>
      <top style="thin">
        <color theme="1"/>
      </top>
      <bottom style="thin">
        <color theme="1"/>
      </bottom>
      <diagonal/>
    </border>
  </borders>
  <cellStyleXfs count="2">
    <xf numFmtId="0" fontId="0" fillId="0" borderId="0"/>
    <xf numFmtId="44" fontId="3" fillId="0" borderId="0" applyFon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164" fontId="0" fillId="0" borderId="0" xfId="0" applyNumberFormat="1"/>
    <xf numFmtId="0" fontId="1" fillId="0" borderId="0" xfId="0" applyFont="1" applyFill="1"/>
    <xf numFmtId="0" fontId="4" fillId="3" borderId="2" xfId="0" applyFont="1" applyFill="1" applyBorder="1" applyAlignment="1">
      <alignment horizontal="left"/>
    </xf>
    <xf numFmtId="0" fontId="0" fillId="0" borderId="0" xfId="0" applyAlignment="1">
      <alignment horizontal="left" indent="1"/>
    </xf>
    <xf numFmtId="165" fontId="0" fillId="0" borderId="0" xfId="0" applyNumberFormat="1"/>
    <xf numFmtId="0" fontId="4" fillId="0" borderId="1" xfId="0" applyFont="1" applyBorder="1" applyAlignment="1">
      <alignment horizontal="left"/>
    </xf>
    <xf numFmtId="165" fontId="4" fillId="0" borderId="1" xfId="0" applyNumberFormat="1" applyFont="1" applyBorder="1"/>
    <xf numFmtId="165" fontId="1" fillId="0" borderId="0" xfId="0" applyNumberFormat="1" applyFont="1" applyFill="1"/>
    <xf numFmtId="165" fontId="0" fillId="0" borderId="0" xfId="1" applyNumberFormat="1" applyFont="1"/>
    <xf numFmtId="0" fontId="5" fillId="0" borderId="0" xfId="0" applyFont="1" applyFill="1"/>
    <xf numFmtId="165" fontId="6" fillId="0" borderId="0" xfId="1" applyNumberFormat="1" applyFont="1" applyFill="1"/>
    <xf numFmtId="0" fontId="7" fillId="4" borderId="3" xfId="0" applyFont="1" applyFill="1" applyBorder="1" applyAlignment="1">
      <alignment horizontal="center"/>
    </xf>
    <xf numFmtId="44" fontId="0" fillId="5" borderId="4" xfId="1" applyFont="1" applyFill="1" applyBorder="1" applyAlignment="1"/>
    <xf numFmtId="44" fontId="0" fillId="0" borderId="0" xfId="1" applyNumberFormat="1" applyFont="1"/>
    <xf numFmtId="0" fontId="9" fillId="2" borderId="0" xfId="0" applyFont="1" applyFill="1" applyBorder="1" applyAlignment="1"/>
    <xf numFmtId="0" fontId="10" fillId="2" borderId="0" xfId="0" applyFont="1" applyFill="1" applyBorder="1"/>
    <xf numFmtId="0" fontId="10" fillId="2" borderId="0" xfId="0" applyFont="1" applyFill="1"/>
    <xf numFmtId="0" fontId="9" fillId="2" borderId="0" xfId="0" applyFont="1" applyFill="1" applyBorder="1" applyAlignment="1" applyProtection="1">
      <protection locked="0"/>
    </xf>
    <xf numFmtId="0" fontId="10" fillId="2" borderId="0" xfId="0" applyFont="1" applyFill="1" applyBorder="1" applyProtection="1">
      <protection locked="0"/>
    </xf>
    <xf numFmtId="0" fontId="0" fillId="0" borderId="0" xfId="0" applyNumberFormat="1"/>
    <xf numFmtId="44" fontId="0" fillId="0" borderId="0" xfId="0" applyNumberFormat="1"/>
    <xf numFmtId="0" fontId="8" fillId="6" borderId="0" xfId="0" applyFont="1" applyFill="1" applyAlignment="1">
      <alignment horizontal="center"/>
    </xf>
    <xf numFmtId="0" fontId="8" fillId="6" borderId="0" xfId="0" applyFont="1" applyFill="1" applyBorder="1" applyAlignment="1">
      <alignment horizontal="center"/>
    </xf>
    <xf numFmtId="49" fontId="0" fillId="0" borderId="0" xfId="0" applyNumberFormat="1" applyAlignment="1"/>
    <xf numFmtId="166" fontId="0" fillId="0" borderId="0" xfId="0" applyNumberFormat="1" applyAlignment="1"/>
    <xf numFmtId="14" fontId="0" fillId="0" borderId="0" xfId="0" applyNumberFormat="1" applyAlignment="1"/>
    <xf numFmtId="0" fontId="0" fillId="0" borderId="0" xfId="0" applyNumberFormat="1" applyAlignment="1"/>
    <xf numFmtId="14" fontId="0" fillId="0" borderId="0" xfId="0" applyNumberFormat="1"/>
    <xf numFmtId="166" fontId="0" fillId="0" borderId="0" xfId="0" applyNumberFormat="1"/>
  </cellXfs>
  <cellStyles count="2">
    <cellStyle name="Currency" xfId="1" builtinId="4"/>
    <cellStyle name="Normal" xfId="0" builtinId="0"/>
  </cellStyles>
  <dxfs count="39">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66" formatCode="#,##0.00\ &quot;€&quot;"/>
    </dxf>
    <dxf>
      <numFmt numFmtId="166" formatCode="#,##0.00\ &quot;€&quot;"/>
    </dxf>
    <dxf>
      <numFmt numFmtId="19" formatCode="dd/mm/yyyy"/>
    </dxf>
    <dxf>
      <numFmt numFmtId="164" formatCode="_-* #,##0\ [$€-816]_-;\-* #,##0\ [$€-816]_-;_-* &quot;-&quot;??\ [$€-816]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5" formatCode="_-* #,##0\ &quot;€&quot;_-;\-* #,##0\ &quot;€&quot;_-;_-* &quot;-&quot;??\ &quot;€&quot;_-;_-@_-"/>
    </dxf>
    <dxf>
      <numFmt numFmtId="164" formatCode="_-* #,##0\ [$€-816]_-;\-* #,##0\ [$€-816]_-;_-* &quot;-&quot;??\ [$€-816]_-;_-@_-"/>
    </dxf>
    <dxf>
      <numFmt numFmtId="164" formatCode="_-* #,##0\ [$€-816]_-;\-* #,##0\ [$€-816]_-;_-* &quot;-&quot;??\ [$€-816]_-;_-@_-"/>
    </dxf>
    <dxf>
      <numFmt numFmtId="165" formatCode="_-* #,##0\ &quot;€&quot;_-;\-* #,##0\ &quot;€&quot;_-;_-* &quot;-&quot;??\ &quot;€&quot;_-;_-@_-"/>
    </dxf>
    <dxf>
      <numFmt numFmtId="165" formatCode="_-* #,##0\ &quot;€&quot;_-;\-* #,##0\ &quot;€&quot;_-;_-* &quot;-&quot;??\ &quot;€&quot;_-;_-@_-"/>
    </dxf>
  </dxfs>
  <tableStyles count="0" defaultTableStyle="TableStyleMedium2" defaultPivotStyle="PivotStyleLight16"/>
  <colors>
    <mruColors>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Dashboard.xlsm]Analysis!PTIncomeChart</c:name>
    <c:fmtId val="17"/>
  </c:pivotSource>
  <c:chart>
    <c:title>
      <c:tx>
        <c:rich>
          <a:bodyPr rot="0" spcFirstLastPara="1" vertOverflow="ellipsis" vert="horz" wrap="square" anchor="ctr" anchorCtr="1"/>
          <a:lstStyle/>
          <a:p>
            <a:pPr>
              <a:defRPr sz="1400" b="1" i="0" u="none" strike="noStrike" kern="1200" spc="0" baseline="0">
                <a:solidFill>
                  <a:schemeClr val="accent4"/>
                </a:solidFill>
                <a:effectLst/>
                <a:latin typeface="Lucida Sans Unicode" panose="020B0602030504020204" pitchFamily="34" charset="0"/>
                <a:ea typeface="+mn-ea"/>
                <a:cs typeface="Lucida Sans Unicode" panose="020B0602030504020204" pitchFamily="34" charset="0"/>
              </a:defRPr>
            </a:pPr>
            <a:r>
              <a:rPr lang="en-US" b="1">
                <a:solidFill>
                  <a:schemeClr val="accent4"/>
                </a:solidFill>
                <a:effectLst/>
                <a:latin typeface="Lucida Sans Unicode" panose="020B0602030504020204" pitchFamily="34" charset="0"/>
                <a:cs typeface="Lucida Sans Unicode" panose="020B0602030504020204" pitchFamily="34" charset="0"/>
              </a:rPr>
              <a:t>Income</a:t>
            </a:r>
          </a:p>
        </c:rich>
      </c:tx>
      <c:layout>
        <c:manualLayout>
          <c:xMode val="edge"/>
          <c:yMode val="edge"/>
          <c:x val="2.2220395728195737E-2"/>
          <c:y val="7.870369760265320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accent4"/>
              </a:solidFill>
              <a:effectLst/>
              <a:latin typeface="Lucida Sans Unicode" panose="020B0602030504020204" pitchFamily="34" charset="0"/>
              <a:ea typeface="+mn-ea"/>
              <a:cs typeface="Lucida Sans Unicode" panose="020B0602030504020204" pitchFamily="34" charset="0"/>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effectLst>
                    <a:glow rad="63500">
                      <a:schemeClr val="tx1">
                        <a:alpha val="40000"/>
                      </a:schemeClr>
                    </a:glow>
                  </a:effectLst>
                  <a:latin typeface="Lucida Sans Unicode" panose="020B0602030504020204" pitchFamily="34" charset="0"/>
                  <a:ea typeface="+mn-ea"/>
                  <a:cs typeface="Lucida Sans Unicode" panose="020B0602030504020204" pitchFamily="34" charset="0"/>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Analysis!$H$3</c:f>
              <c:strCache>
                <c:ptCount val="1"/>
                <c:pt idx="0">
                  <c:v>Total</c:v>
                </c:pt>
              </c:strCache>
            </c:strRef>
          </c:tx>
          <c:spPr>
            <a:solidFill>
              <a:schemeClr val="accent1"/>
            </a:solidFill>
            <a:ln w="12700">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effectLst>
                      <a:glow rad="63500">
                        <a:schemeClr val="tx1">
                          <a:alpha val="40000"/>
                        </a:schemeClr>
                      </a:glow>
                    </a:effectLst>
                    <a:latin typeface="Lucida Sans Unicode" panose="020B0602030504020204" pitchFamily="34" charset="0"/>
                    <a:ea typeface="+mn-ea"/>
                    <a:cs typeface="Lucida Sans Unicode" panose="020B0602030504020204" pitchFamily="34" charset="0"/>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Analysis!$G$4:$G$5</c:f>
              <c:strCache>
                <c:ptCount val="1"/>
                <c:pt idx="0">
                  <c:v>out</c:v>
                </c:pt>
              </c:strCache>
            </c:strRef>
          </c:cat>
          <c:val>
            <c:numRef>
              <c:f>Analysis!$H$4:$H$5</c:f>
              <c:numCache>
                <c:formatCode>_-* #\ ##0\ [$€-816]_-;\-* #\ ##0\ [$€-816]_-;_-* "-"??\ [$€-816]_-;_-@_-</c:formatCode>
                <c:ptCount val="1"/>
                <c:pt idx="0">
                  <c:v>20</c:v>
                </c:pt>
              </c:numCache>
            </c:numRef>
          </c:val>
          <c:extLst>
            <c:ext xmlns:c16="http://schemas.microsoft.com/office/drawing/2014/chart" uri="{C3380CC4-5D6E-409C-BE32-E72D297353CC}">
              <c16:uniqueId val="{00000000-74DD-476E-A3A7-912142C99A42}"/>
            </c:ext>
          </c:extLst>
        </c:ser>
        <c:dLbls>
          <c:dLblPos val="outEnd"/>
          <c:showLegendKey val="0"/>
          <c:showVal val="1"/>
          <c:showCatName val="0"/>
          <c:showSerName val="0"/>
          <c:showPercent val="0"/>
          <c:showBubbleSize val="0"/>
        </c:dLbls>
        <c:gapWidth val="50"/>
        <c:overlap val="-27"/>
        <c:axId val="532496632"/>
        <c:axId val="532497616"/>
      </c:barChart>
      <c:catAx>
        <c:axId val="532496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4"/>
                </a:solidFill>
                <a:effectLst>
                  <a:glow rad="63500">
                    <a:schemeClr val="tx1">
                      <a:alpha val="40000"/>
                    </a:schemeClr>
                  </a:glow>
                </a:effectLst>
                <a:latin typeface="Lucida Sans Unicode" panose="020B0602030504020204" pitchFamily="34" charset="0"/>
                <a:ea typeface="+mn-ea"/>
                <a:cs typeface="Lucida Sans Unicode" panose="020B0602030504020204" pitchFamily="34" charset="0"/>
              </a:defRPr>
            </a:pPr>
            <a:endParaRPr lang="pt-PT"/>
          </a:p>
        </c:txPr>
        <c:crossAx val="532497616"/>
        <c:crosses val="autoZero"/>
        <c:auto val="1"/>
        <c:lblAlgn val="ctr"/>
        <c:lblOffset val="100"/>
        <c:noMultiLvlLbl val="0"/>
      </c:catAx>
      <c:valAx>
        <c:axId val="532497616"/>
        <c:scaling>
          <c:orientation val="minMax"/>
        </c:scaling>
        <c:delete val="1"/>
        <c:axPos val="l"/>
        <c:numFmt formatCode="_-* #\ ##0\ [$€-816]_-;\-* #\ ##0\ [$€-816]_-;_-* &quot;-&quot;??\ [$€-816]_-;_-@_-" sourceLinked="1"/>
        <c:majorTickMark val="none"/>
        <c:minorTickMark val="none"/>
        <c:tickLblPos val="nextTo"/>
        <c:crossAx val="532496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Dashboard.xlsm]Analysis!PTSpentChart</c:name>
    <c:fmtId val="13"/>
  </c:pivotSource>
  <c:chart>
    <c:title>
      <c:tx>
        <c:strRef>
          <c:f>Analysis!$AI$4</c:f>
          <c:strCache>
            <c:ptCount val="1"/>
            <c:pt idx="0">
              <c:v>All Expenses</c:v>
            </c:pt>
          </c:strCache>
        </c:strRef>
      </c:tx>
      <c:layout>
        <c:manualLayout>
          <c:xMode val="edge"/>
          <c:yMode val="edge"/>
          <c:x val="2.0020778652668429E-2"/>
          <c:y val="3.7735849056603772E-2"/>
        </c:manualLayout>
      </c:layout>
      <c:overlay val="0"/>
      <c:spPr>
        <a:noFill/>
        <a:ln>
          <a:noFill/>
        </a:ln>
        <a:effectLst/>
      </c:spPr>
      <c:txPr>
        <a:bodyPr rot="0" spcFirstLastPara="1" vertOverflow="ellipsis" vert="horz" wrap="square" anchor="ctr" anchorCtr="1"/>
        <a:lstStyle/>
        <a:p>
          <a:pPr algn="l">
            <a:defRPr sz="1200" b="1" i="0" u="none" strike="noStrike" kern="1200" spc="0" baseline="0">
              <a:solidFill>
                <a:schemeClr val="accent4"/>
              </a:solidFill>
              <a:effectLst/>
              <a:latin typeface="Lucida Sans Unicode" panose="020B0602030504020204" pitchFamily="34" charset="0"/>
              <a:ea typeface="+mn-ea"/>
              <a:cs typeface="Lucida Sans Unicode" panose="020B0602030504020204" pitchFamily="34" charset="0"/>
            </a:defRPr>
          </a:pPr>
          <a:endParaRPr lang="pt-PT"/>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effectLst>
                    <a:glow rad="63500">
                      <a:schemeClr val="tx1">
                        <a:alpha val="40000"/>
                      </a:schemeClr>
                    </a:glow>
                  </a:effectLst>
                  <a:latin typeface="+mn-lt"/>
                  <a:ea typeface="+mn-ea"/>
                  <a:cs typeface="+mn-cs"/>
                </a:defRPr>
              </a:pPr>
              <a:endParaRPr lang="pt-PT"/>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Analysis!$AI$4</c:f>
              <c:strCache>
                <c:ptCount val="1"/>
                <c:pt idx="0">
                  <c:v>Total</c:v>
                </c:pt>
              </c:strCache>
            </c:strRef>
          </c:tx>
          <c:spPr>
            <a:solidFill>
              <a:schemeClr val="accent5"/>
            </a:solidFill>
            <a:ln w="12700">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effectLst>
                      <a:glow rad="63500">
                        <a:schemeClr val="tx1">
                          <a:alpha val="40000"/>
                        </a:schemeClr>
                      </a:glow>
                    </a:effectLst>
                    <a:latin typeface="+mn-lt"/>
                    <a:ea typeface="+mn-ea"/>
                    <a:cs typeface="+mn-cs"/>
                  </a:defRPr>
                </a:pPr>
                <a:endParaRPr lang="pt-PT"/>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Analysis!$AI$4</c:f>
              <c:strCache>
                <c:ptCount val="5"/>
                <c:pt idx="0">
                  <c:v>jun</c:v>
                </c:pt>
                <c:pt idx="1">
                  <c:v>jul</c:v>
                </c:pt>
                <c:pt idx="2">
                  <c:v>ago</c:v>
                </c:pt>
                <c:pt idx="3">
                  <c:v>set</c:v>
                </c:pt>
                <c:pt idx="4">
                  <c:v>out</c:v>
                </c:pt>
              </c:strCache>
            </c:strRef>
          </c:cat>
          <c:val>
            <c:numRef>
              <c:f>Analysis!$AI$4</c:f>
              <c:numCache>
                <c:formatCode>_-* #\ ##0\ [$€-816]_-;\-* #\ ##0\ [$€-816]_-;_-* "-"??\ [$€-816]_-;_-@_-</c:formatCode>
                <c:ptCount val="5"/>
                <c:pt idx="0">
                  <c:v>1274.3200000000002</c:v>
                </c:pt>
                <c:pt idx="1">
                  <c:v>1563.4299999999996</c:v>
                </c:pt>
                <c:pt idx="2">
                  <c:v>454.84000000000003</c:v>
                </c:pt>
                <c:pt idx="3">
                  <c:v>976.03</c:v>
                </c:pt>
                <c:pt idx="4">
                  <c:v>315.77</c:v>
                </c:pt>
              </c:numCache>
            </c:numRef>
          </c:val>
          <c:extLst>
            <c:ext xmlns:c16="http://schemas.microsoft.com/office/drawing/2014/chart" uri="{C3380CC4-5D6E-409C-BE32-E72D297353CC}">
              <c16:uniqueId val="{00000000-129A-411E-9964-8E9BBC977879}"/>
            </c:ext>
          </c:extLst>
        </c:ser>
        <c:dLbls>
          <c:showLegendKey val="0"/>
          <c:showVal val="0"/>
          <c:showCatName val="0"/>
          <c:showSerName val="0"/>
          <c:showPercent val="0"/>
          <c:showBubbleSize val="0"/>
        </c:dLbls>
        <c:gapWidth val="50"/>
        <c:overlap val="-27"/>
        <c:axId val="534457368"/>
        <c:axId val="534458680"/>
      </c:barChart>
      <c:catAx>
        <c:axId val="534457368"/>
        <c:scaling>
          <c:orientation val="minMax"/>
        </c:scaling>
        <c:delete val="0"/>
        <c:axPos val="b"/>
        <c:numFmt formatCode="General" sourceLinked="1"/>
        <c:majorTickMark val="out"/>
        <c:minorTickMark val="none"/>
        <c:tickLblPos val="nextTo"/>
        <c:spPr>
          <a:noFill/>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txPr>
          <a:bodyPr rot="-60000000" spcFirstLastPara="1" vertOverflow="ellipsis" vert="horz" wrap="square" anchor="ctr" anchorCtr="1"/>
          <a:lstStyle/>
          <a:p>
            <a:pPr>
              <a:defRPr sz="1050" b="0" i="0" u="none" strike="noStrike" kern="1200" baseline="0">
                <a:solidFill>
                  <a:schemeClr val="accent4"/>
                </a:solidFill>
                <a:effectLst>
                  <a:glow rad="63500">
                    <a:schemeClr val="tx1">
                      <a:alpha val="40000"/>
                    </a:schemeClr>
                  </a:glow>
                </a:effectLst>
                <a:latin typeface="Lucida Sans Unicode" panose="020B0602030504020204" pitchFamily="34" charset="0"/>
                <a:ea typeface="+mn-ea"/>
                <a:cs typeface="Lucida Sans Unicode" panose="020B0602030504020204" pitchFamily="34" charset="0"/>
              </a:defRPr>
            </a:pPr>
            <a:endParaRPr lang="pt-PT"/>
          </a:p>
        </c:txPr>
        <c:crossAx val="534458680"/>
        <c:crosses val="autoZero"/>
        <c:auto val="1"/>
        <c:lblAlgn val="ctr"/>
        <c:lblOffset val="100"/>
        <c:noMultiLvlLbl val="0"/>
      </c:catAx>
      <c:valAx>
        <c:axId val="534458680"/>
        <c:scaling>
          <c:orientation val="minMax"/>
        </c:scaling>
        <c:delete val="1"/>
        <c:axPos val="l"/>
        <c:numFmt formatCode="_-* #\ ##0\ [$€-816]_-;\-* #\ ##0\ [$€-816]_-;_-* &quot;-&quot;??\ [$€-816]_-;_-@_-" sourceLinked="1"/>
        <c:majorTickMark val="out"/>
        <c:minorTickMark val="none"/>
        <c:tickLblPos val="nextTo"/>
        <c:crossAx val="534457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Dashboard.xlsm]Analysis!PTLineChart</c:name>
    <c:fmtId val="9"/>
  </c:pivotSource>
  <c:chart>
    <c:autoTitleDeleted val="0"/>
    <c:pivotFmts>
      <c:pivotFmt>
        <c:idx val="0"/>
        <c:spPr>
          <a:solidFill>
            <a:schemeClr val="accent1"/>
          </a:solidFill>
          <a:ln w="12700" cap="rnd">
            <a:solidFill>
              <a:schemeClr val="accent1"/>
            </a:solidFill>
            <a:round/>
          </a:ln>
          <a:effectLst/>
        </c:spPr>
        <c:marker>
          <c:symbol val="none"/>
        </c:marker>
      </c:pivotFmt>
      <c:pivotFmt>
        <c:idx val="1"/>
        <c:spPr>
          <a:solidFill>
            <a:schemeClr val="accent1"/>
          </a:solidFill>
          <a:ln w="12700" cap="rnd">
            <a:solidFill>
              <a:schemeClr val="accent1"/>
            </a:solidFill>
            <a:round/>
          </a:ln>
          <a:effectLst/>
        </c:spPr>
        <c:marker>
          <c:symbol val="none"/>
        </c:marker>
      </c:pivotFmt>
      <c:pivotFmt>
        <c:idx val="2"/>
        <c:spPr>
          <a:solidFill>
            <a:schemeClr val="accent1"/>
          </a:solidFill>
          <a:ln w="12700" cap="rnd">
            <a:solidFill>
              <a:schemeClr val="accent1"/>
            </a:solidFill>
            <a:round/>
          </a:ln>
          <a:effectLst/>
        </c:spPr>
        <c:marker>
          <c:symbol val="none"/>
        </c:marker>
      </c:pivotFmt>
      <c:pivotFmt>
        <c:idx val="3"/>
        <c:spPr>
          <a:solidFill>
            <a:schemeClr val="accent1"/>
          </a:solidFill>
          <a:ln w="12700" cap="rnd">
            <a:solidFill>
              <a:schemeClr val="accent1"/>
            </a:solidFill>
            <a:round/>
          </a:ln>
          <a:effectLst/>
        </c:spPr>
        <c:marker>
          <c:symbol val="none"/>
        </c:marker>
      </c:pivotFmt>
      <c:pivotFmt>
        <c:idx val="4"/>
        <c:spPr>
          <a:solidFill>
            <a:schemeClr val="accent1"/>
          </a:solidFill>
          <a:ln w="12700" cap="rnd">
            <a:solidFill>
              <a:schemeClr val="accent5"/>
            </a:solidFill>
            <a:round/>
          </a:ln>
          <a:effectLst/>
        </c:spPr>
        <c:marker>
          <c:symbol val="none"/>
        </c:marker>
      </c:pivotFmt>
      <c:pivotFmt>
        <c:idx val="5"/>
        <c:spPr>
          <a:solidFill>
            <a:schemeClr val="accent1"/>
          </a:solidFill>
          <a:ln w="12700" cap="rnd">
            <a:solidFill>
              <a:schemeClr val="accent1"/>
            </a:solidFill>
            <a:round/>
          </a:ln>
          <a:effectLst/>
        </c:spPr>
        <c:marker>
          <c:symbol val="none"/>
        </c:marker>
      </c:pivotFmt>
      <c:pivotFmt>
        <c:idx val="6"/>
        <c:spPr>
          <a:solidFill>
            <a:schemeClr val="accent1"/>
          </a:solidFill>
          <a:ln w="12700" cap="rnd">
            <a:solidFill>
              <a:schemeClr val="accent1"/>
            </a:solidFill>
            <a:round/>
          </a:ln>
          <a:effectLst/>
        </c:spPr>
        <c:marker>
          <c:symbol val="none"/>
        </c:marker>
      </c:pivotFmt>
      <c:pivotFmt>
        <c:idx val="7"/>
        <c:spPr>
          <a:solidFill>
            <a:schemeClr val="accent1"/>
          </a:solidFill>
          <a:ln w="12700" cap="rnd">
            <a:solidFill>
              <a:schemeClr val="accent1"/>
            </a:solidFill>
            <a:round/>
          </a:ln>
          <a:effectLst/>
        </c:spPr>
        <c:marker>
          <c:symbol val="none"/>
        </c:marker>
      </c:pivotFmt>
      <c:pivotFmt>
        <c:idx val="8"/>
        <c:spPr>
          <a:solidFill>
            <a:schemeClr val="accent1"/>
          </a:solidFill>
          <a:ln w="12700" cap="rnd">
            <a:solidFill>
              <a:schemeClr val="accent1"/>
            </a:solidFill>
            <a:round/>
          </a:ln>
          <a:effectLst/>
        </c:spPr>
        <c:marker>
          <c:symbol val="none"/>
        </c:marker>
      </c:pivotFmt>
      <c:pivotFmt>
        <c:idx val="9"/>
        <c:spPr>
          <a:solidFill>
            <a:schemeClr val="accent1"/>
          </a:solidFill>
          <a:ln w="127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27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27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27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27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27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27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27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27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1"/>
            </a:solidFill>
            <a:ln w="63500">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6">
                <a:lumMod val="40000"/>
                <a:lumOff val="6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70971128608924"/>
          <c:y val="0.34948928258967626"/>
          <c:w val="0.8123473315835521"/>
          <c:h val="0.47963108778069408"/>
        </c:manualLayout>
      </c:layout>
      <c:lineChart>
        <c:grouping val="standard"/>
        <c:varyColors val="0"/>
        <c:ser>
          <c:idx val="0"/>
          <c:order val="0"/>
          <c:tx>
            <c:strRef>
              <c:f>Analysis!$K$3:$K$4</c:f>
              <c:strCache>
                <c:ptCount val="1"/>
                <c:pt idx="0">
                  <c:v>Education</c:v>
                </c:pt>
              </c:strCache>
            </c:strRef>
          </c:tx>
          <c:spPr>
            <a:ln w="28575" cap="rnd">
              <a:solidFill>
                <a:schemeClr val="accent1"/>
              </a:solidFill>
              <a:round/>
            </a:ln>
            <a:effectLst/>
          </c:spPr>
          <c:marker>
            <c:symbol val="circle"/>
            <c:size val="5"/>
            <c:spPr>
              <a:solidFill>
                <a:schemeClr val="accent1"/>
              </a:solidFill>
              <a:ln w="63500">
                <a:noFill/>
              </a:ln>
              <a:effectLst/>
            </c:spPr>
          </c:marker>
          <c:cat>
            <c:strRef>
              <c:f>Analysis!$J$5:$J$10</c:f>
              <c:strCache>
                <c:ptCount val="5"/>
                <c:pt idx="0">
                  <c:v>jun</c:v>
                </c:pt>
                <c:pt idx="1">
                  <c:v>jul</c:v>
                </c:pt>
                <c:pt idx="2">
                  <c:v>ago</c:v>
                </c:pt>
                <c:pt idx="3">
                  <c:v>set</c:v>
                </c:pt>
                <c:pt idx="4">
                  <c:v>out</c:v>
                </c:pt>
              </c:strCache>
            </c:strRef>
          </c:cat>
          <c:val>
            <c:numRef>
              <c:f>Analysis!$K$5:$K$10</c:f>
              <c:numCache>
                <c:formatCode>_-* #\ ##0\ "€"_-;\-* #\ ##0\ "€"_-;_-* "-"??\ "€"_-;_-@_-</c:formatCode>
                <c:ptCount val="5"/>
                <c:pt idx="3">
                  <c:v>38</c:v>
                </c:pt>
              </c:numCache>
            </c:numRef>
          </c:val>
          <c:smooth val="0"/>
          <c:extLst>
            <c:ext xmlns:c16="http://schemas.microsoft.com/office/drawing/2014/chart" uri="{C3380CC4-5D6E-409C-BE32-E72D297353CC}">
              <c16:uniqueId val="{00000000-F5E9-431D-A28A-3921FE6898C2}"/>
            </c:ext>
          </c:extLst>
        </c:ser>
        <c:ser>
          <c:idx val="1"/>
          <c:order val="1"/>
          <c:tx>
            <c:strRef>
              <c:f>Analysis!$L$3:$L$4</c:f>
              <c:strCache>
                <c:ptCount val="1"/>
                <c:pt idx="0">
                  <c:v>Entertainment</c:v>
                </c:pt>
              </c:strCache>
            </c:strRef>
          </c:tx>
          <c:spPr>
            <a:ln w="28575" cap="rnd">
              <a:solidFill>
                <a:schemeClr val="accent2"/>
              </a:solidFill>
              <a:round/>
            </a:ln>
            <a:effectLst/>
          </c:spPr>
          <c:marker>
            <c:symbol val="none"/>
          </c:marker>
          <c:cat>
            <c:strRef>
              <c:f>Analysis!$J$5:$J$10</c:f>
              <c:strCache>
                <c:ptCount val="5"/>
                <c:pt idx="0">
                  <c:v>jun</c:v>
                </c:pt>
                <c:pt idx="1">
                  <c:v>jul</c:v>
                </c:pt>
                <c:pt idx="2">
                  <c:v>ago</c:v>
                </c:pt>
                <c:pt idx="3">
                  <c:v>set</c:v>
                </c:pt>
                <c:pt idx="4">
                  <c:v>out</c:v>
                </c:pt>
              </c:strCache>
            </c:strRef>
          </c:cat>
          <c:val>
            <c:numRef>
              <c:f>Analysis!$L$5:$L$10</c:f>
              <c:numCache>
                <c:formatCode>_-* #\ ##0\ "€"_-;\-* #\ ##0\ "€"_-;_-* "-"??\ "€"_-;_-@_-</c:formatCode>
                <c:ptCount val="5"/>
                <c:pt idx="0">
                  <c:v>39.96</c:v>
                </c:pt>
                <c:pt idx="1">
                  <c:v>11.959999999999999</c:v>
                </c:pt>
                <c:pt idx="2">
                  <c:v>194.84</c:v>
                </c:pt>
                <c:pt idx="3">
                  <c:v>555.07999999999993</c:v>
                </c:pt>
                <c:pt idx="4">
                  <c:v>82.86</c:v>
                </c:pt>
              </c:numCache>
            </c:numRef>
          </c:val>
          <c:smooth val="0"/>
          <c:extLst>
            <c:ext xmlns:c16="http://schemas.microsoft.com/office/drawing/2014/chart" uri="{C3380CC4-5D6E-409C-BE32-E72D297353CC}">
              <c16:uniqueId val="{00000001-D042-4416-901F-E0D5333DC1D8}"/>
            </c:ext>
          </c:extLst>
        </c:ser>
        <c:ser>
          <c:idx val="2"/>
          <c:order val="2"/>
          <c:tx>
            <c:strRef>
              <c:f>Analysis!$M$3:$M$4</c:f>
              <c:strCache>
                <c:ptCount val="1"/>
                <c:pt idx="0">
                  <c:v>Everyday</c:v>
                </c:pt>
              </c:strCache>
            </c:strRef>
          </c:tx>
          <c:spPr>
            <a:ln w="28575" cap="rnd">
              <a:solidFill>
                <a:schemeClr val="accent3"/>
              </a:solidFill>
              <a:round/>
            </a:ln>
            <a:effectLst/>
          </c:spPr>
          <c:marker>
            <c:symbol val="none"/>
          </c:marker>
          <c:cat>
            <c:strRef>
              <c:f>Analysis!$J$5:$J$10</c:f>
              <c:strCache>
                <c:ptCount val="5"/>
                <c:pt idx="0">
                  <c:v>jun</c:v>
                </c:pt>
                <c:pt idx="1">
                  <c:v>jul</c:v>
                </c:pt>
                <c:pt idx="2">
                  <c:v>ago</c:v>
                </c:pt>
                <c:pt idx="3">
                  <c:v>set</c:v>
                </c:pt>
                <c:pt idx="4">
                  <c:v>out</c:v>
                </c:pt>
              </c:strCache>
            </c:strRef>
          </c:cat>
          <c:val>
            <c:numRef>
              <c:f>Analysis!$M$5:$M$10</c:f>
              <c:numCache>
                <c:formatCode>_-* #\ ##0\ "€"_-;\-* #\ ##0\ "€"_-;_-* "-"??\ "€"_-;_-@_-</c:formatCode>
                <c:ptCount val="5"/>
                <c:pt idx="0">
                  <c:v>471.35</c:v>
                </c:pt>
                <c:pt idx="1">
                  <c:v>24.67</c:v>
                </c:pt>
                <c:pt idx="3">
                  <c:v>36.549999999999997</c:v>
                </c:pt>
                <c:pt idx="4">
                  <c:v>12.91</c:v>
                </c:pt>
              </c:numCache>
            </c:numRef>
          </c:val>
          <c:smooth val="0"/>
          <c:extLst>
            <c:ext xmlns:c16="http://schemas.microsoft.com/office/drawing/2014/chart" uri="{C3380CC4-5D6E-409C-BE32-E72D297353CC}">
              <c16:uniqueId val="{00000002-D042-4416-901F-E0D5333DC1D8}"/>
            </c:ext>
          </c:extLst>
        </c:ser>
        <c:ser>
          <c:idx val="3"/>
          <c:order val="3"/>
          <c:tx>
            <c:strRef>
              <c:f>Analysis!$N$3:$N$4</c:f>
              <c:strCache>
                <c:ptCount val="1"/>
                <c:pt idx="0">
                  <c:v>Health</c:v>
                </c:pt>
              </c:strCache>
            </c:strRef>
          </c:tx>
          <c:spPr>
            <a:ln w="28575" cap="rnd">
              <a:solidFill>
                <a:schemeClr val="accent4"/>
              </a:solidFill>
              <a:round/>
            </a:ln>
            <a:effectLst/>
          </c:spPr>
          <c:marker>
            <c:symbol val="none"/>
          </c:marker>
          <c:cat>
            <c:strRef>
              <c:f>Analysis!$J$5:$J$10</c:f>
              <c:strCache>
                <c:ptCount val="5"/>
                <c:pt idx="0">
                  <c:v>jun</c:v>
                </c:pt>
                <c:pt idx="1">
                  <c:v>jul</c:v>
                </c:pt>
                <c:pt idx="2">
                  <c:v>ago</c:v>
                </c:pt>
                <c:pt idx="3">
                  <c:v>set</c:v>
                </c:pt>
                <c:pt idx="4">
                  <c:v>out</c:v>
                </c:pt>
              </c:strCache>
            </c:strRef>
          </c:cat>
          <c:val>
            <c:numRef>
              <c:f>Analysis!$N$5:$N$10</c:f>
              <c:numCache>
                <c:formatCode>_-* #\ ##0\ "€"_-;\-* #\ ##0\ "€"_-;_-* "-"??\ "€"_-;_-@_-</c:formatCode>
                <c:ptCount val="5"/>
                <c:pt idx="0">
                  <c:v>102.98</c:v>
                </c:pt>
              </c:numCache>
            </c:numRef>
          </c:val>
          <c:smooth val="0"/>
          <c:extLst>
            <c:ext xmlns:c16="http://schemas.microsoft.com/office/drawing/2014/chart" uri="{C3380CC4-5D6E-409C-BE32-E72D297353CC}">
              <c16:uniqueId val="{00000003-D042-4416-901F-E0D5333DC1D8}"/>
            </c:ext>
          </c:extLst>
        </c:ser>
        <c:ser>
          <c:idx val="4"/>
          <c:order val="4"/>
          <c:tx>
            <c:strRef>
              <c:f>Analysis!$O$3:$O$4</c:f>
              <c:strCache>
                <c:ptCount val="1"/>
                <c:pt idx="0">
                  <c:v>Home</c:v>
                </c:pt>
              </c:strCache>
            </c:strRef>
          </c:tx>
          <c:spPr>
            <a:ln w="28575" cap="rnd">
              <a:solidFill>
                <a:schemeClr val="accent5"/>
              </a:solidFill>
              <a:round/>
            </a:ln>
            <a:effectLst/>
          </c:spPr>
          <c:marker>
            <c:symbol val="none"/>
          </c:marker>
          <c:cat>
            <c:strRef>
              <c:f>Analysis!$J$5:$J$10</c:f>
              <c:strCache>
                <c:ptCount val="5"/>
                <c:pt idx="0">
                  <c:v>jun</c:v>
                </c:pt>
                <c:pt idx="1">
                  <c:v>jul</c:v>
                </c:pt>
                <c:pt idx="2">
                  <c:v>ago</c:v>
                </c:pt>
                <c:pt idx="3">
                  <c:v>set</c:v>
                </c:pt>
                <c:pt idx="4">
                  <c:v>out</c:v>
                </c:pt>
              </c:strCache>
            </c:strRef>
          </c:cat>
          <c:val>
            <c:numRef>
              <c:f>Analysis!$O$5:$O$10</c:f>
              <c:numCache>
                <c:formatCode>_-* #\ ##0\ "€"_-;\-* #\ ##0\ "€"_-;_-* "-"??\ "€"_-;_-@_-</c:formatCode>
                <c:ptCount val="5"/>
                <c:pt idx="0">
                  <c:v>229.11</c:v>
                </c:pt>
                <c:pt idx="1">
                  <c:v>1465.9099999999999</c:v>
                </c:pt>
                <c:pt idx="2">
                  <c:v>200</c:v>
                </c:pt>
                <c:pt idx="3">
                  <c:v>200</c:v>
                </c:pt>
                <c:pt idx="4">
                  <c:v>200</c:v>
                </c:pt>
              </c:numCache>
            </c:numRef>
          </c:val>
          <c:smooth val="0"/>
          <c:extLst>
            <c:ext xmlns:c16="http://schemas.microsoft.com/office/drawing/2014/chart" uri="{C3380CC4-5D6E-409C-BE32-E72D297353CC}">
              <c16:uniqueId val="{00000004-D042-4416-901F-E0D5333DC1D8}"/>
            </c:ext>
          </c:extLst>
        </c:ser>
        <c:ser>
          <c:idx val="5"/>
          <c:order val="5"/>
          <c:tx>
            <c:strRef>
              <c:f>Analysis!$P$3:$P$4</c:f>
              <c:strCache>
                <c:ptCount val="1"/>
                <c:pt idx="0">
                  <c:v>Other</c:v>
                </c:pt>
              </c:strCache>
            </c:strRef>
          </c:tx>
          <c:spPr>
            <a:ln w="28575" cap="rnd">
              <a:solidFill>
                <a:srgbClr val="FFFF00"/>
              </a:solidFill>
              <a:round/>
            </a:ln>
            <a:effectLst/>
          </c:spPr>
          <c:marker>
            <c:symbol val="none"/>
          </c:marker>
          <c:cat>
            <c:strRef>
              <c:f>Analysis!$J$5:$J$10</c:f>
              <c:strCache>
                <c:ptCount val="5"/>
                <c:pt idx="0">
                  <c:v>jun</c:v>
                </c:pt>
                <c:pt idx="1">
                  <c:v>jul</c:v>
                </c:pt>
                <c:pt idx="2">
                  <c:v>ago</c:v>
                </c:pt>
                <c:pt idx="3">
                  <c:v>set</c:v>
                </c:pt>
                <c:pt idx="4">
                  <c:v>out</c:v>
                </c:pt>
              </c:strCache>
            </c:strRef>
          </c:cat>
          <c:val>
            <c:numRef>
              <c:f>Analysis!$P$5:$P$10</c:f>
              <c:numCache>
                <c:formatCode>_-* #\ ##0\ "€"_-;\-* #\ ##0\ "€"_-;_-* "-"??\ "€"_-;_-@_-</c:formatCode>
                <c:ptCount val="5"/>
                <c:pt idx="0">
                  <c:v>300</c:v>
                </c:pt>
                <c:pt idx="1">
                  <c:v>20</c:v>
                </c:pt>
                <c:pt idx="2">
                  <c:v>60</c:v>
                </c:pt>
                <c:pt idx="3">
                  <c:v>110.30000000000001</c:v>
                </c:pt>
                <c:pt idx="4">
                  <c:v>20</c:v>
                </c:pt>
              </c:numCache>
            </c:numRef>
          </c:val>
          <c:smooth val="0"/>
          <c:extLst>
            <c:ext xmlns:c16="http://schemas.microsoft.com/office/drawing/2014/chart" uri="{C3380CC4-5D6E-409C-BE32-E72D297353CC}">
              <c16:uniqueId val="{00000005-D042-4416-901F-E0D5333DC1D8}"/>
            </c:ext>
          </c:extLst>
        </c:ser>
        <c:ser>
          <c:idx val="6"/>
          <c:order val="6"/>
          <c:tx>
            <c:strRef>
              <c:f>Analysis!$Q$3:$Q$4</c:f>
              <c:strCache>
                <c:ptCount val="1"/>
                <c:pt idx="0">
                  <c:v>Transport</c:v>
                </c:pt>
              </c:strCache>
            </c:strRef>
          </c:tx>
          <c:spPr>
            <a:ln w="28575" cap="rnd">
              <a:solidFill>
                <a:schemeClr val="accent1">
                  <a:lumMod val="60000"/>
                </a:schemeClr>
              </a:solidFill>
              <a:round/>
            </a:ln>
            <a:effectLst/>
          </c:spPr>
          <c:marker>
            <c:symbol val="none"/>
          </c:marker>
          <c:cat>
            <c:strRef>
              <c:f>Analysis!$J$5:$J$10</c:f>
              <c:strCache>
                <c:ptCount val="5"/>
                <c:pt idx="0">
                  <c:v>jun</c:v>
                </c:pt>
                <c:pt idx="1">
                  <c:v>jul</c:v>
                </c:pt>
                <c:pt idx="2">
                  <c:v>ago</c:v>
                </c:pt>
                <c:pt idx="3">
                  <c:v>set</c:v>
                </c:pt>
                <c:pt idx="4">
                  <c:v>out</c:v>
                </c:pt>
              </c:strCache>
            </c:strRef>
          </c:cat>
          <c:val>
            <c:numRef>
              <c:f>Analysis!$Q$5:$Q$10</c:f>
              <c:numCache>
                <c:formatCode>_-* #\ ##0\ "€"_-;\-* #\ ##0\ "€"_-;_-* "-"??\ "€"_-;_-@_-</c:formatCode>
                <c:ptCount val="5"/>
                <c:pt idx="0">
                  <c:v>89.12</c:v>
                </c:pt>
                <c:pt idx="3">
                  <c:v>36.1</c:v>
                </c:pt>
              </c:numCache>
            </c:numRef>
          </c:val>
          <c:smooth val="0"/>
          <c:extLst>
            <c:ext xmlns:c16="http://schemas.microsoft.com/office/drawing/2014/chart" uri="{C3380CC4-5D6E-409C-BE32-E72D297353CC}">
              <c16:uniqueId val="{00000006-D042-4416-901F-E0D5333DC1D8}"/>
            </c:ext>
          </c:extLst>
        </c:ser>
        <c:ser>
          <c:idx val="7"/>
          <c:order val="7"/>
          <c:tx>
            <c:strRef>
              <c:f>Analysis!$R$3:$R$4</c:f>
              <c:strCache>
                <c:ptCount val="1"/>
                <c:pt idx="0">
                  <c:v>Travel</c:v>
                </c:pt>
              </c:strCache>
            </c:strRef>
          </c:tx>
          <c:spPr>
            <a:ln w="28575" cap="rnd">
              <a:solidFill>
                <a:schemeClr val="accent2">
                  <a:lumMod val="60000"/>
                </a:schemeClr>
              </a:solidFill>
              <a:round/>
            </a:ln>
            <a:effectLst/>
          </c:spPr>
          <c:marker>
            <c:symbol val="none"/>
          </c:marker>
          <c:cat>
            <c:strRef>
              <c:f>Analysis!$J$5:$J$10</c:f>
              <c:strCache>
                <c:ptCount val="5"/>
                <c:pt idx="0">
                  <c:v>jun</c:v>
                </c:pt>
                <c:pt idx="1">
                  <c:v>jul</c:v>
                </c:pt>
                <c:pt idx="2">
                  <c:v>ago</c:v>
                </c:pt>
                <c:pt idx="3">
                  <c:v>set</c:v>
                </c:pt>
                <c:pt idx="4">
                  <c:v>out</c:v>
                </c:pt>
              </c:strCache>
            </c:strRef>
          </c:cat>
          <c:val>
            <c:numRef>
              <c:f>Analysis!$R$5:$R$10</c:f>
              <c:numCache>
                <c:formatCode>_-* #\ ##0\ "€"_-;\-* #\ ##0\ "€"_-;_-* "-"??\ "€"_-;_-@_-</c:formatCode>
                <c:ptCount val="5"/>
                <c:pt idx="0">
                  <c:v>19.100000000000001</c:v>
                </c:pt>
              </c:numCache>
            </c:numRef>
          </c:val>
          <c:smooth val="0"/>
          <c:extLst>
            <c:ext xmlns:c16="http://schemas.microsoft.com/office/drawing/2014/chart" uri="{C3380CC4-5D6E-409C-BE32-E72D297353CC}">
              <c16:uniqueId val="{00000007-D042-4416-901F-E0D5333DC1D8}"/>
            </c:ext>
          </c:extLst>
        </c:ser>
        <c:ser>
          <c:idx val="8"/>
          <c:order val="8"/>
          <c:tx>
            <c:strRef>
              <c:f>Analysis!$S$3:$S$4</c:f>
              <c:strCache>
                <c:ptCount val="1"/>
                <c:pt idx="0">
                  <c:v>Utilities</c:v>
                </c:pt>
              </c:strCache>
            </c:strRef>
          </c:tx>
          <c:spPr>
            <a:ln w="28575" cap="rnd">
              <a:solidFill>
                <a:schemeClr val="accent6">
                  <a:lumMod val="40000"/>
                  <a:lumOff val="60000"/>
                </a:schemeClr>
              </a:solidFill>
              <a:round/>
            </a:ln>
            <a:effectLst/>
          </c:spPr>
          <c:marker>
            <c:symbol val="none"/>
          </c:marker>
          <c:cat>
            <c:strRef>
              <c:f>Analysis!$J$5:$J$10</c:f>
              <c:strCache>
                <c:ptCount val="5"/>
                <c:pt idx="0">
                  <c:v>jun</c:v>
                </c:pt>
                <c:pt idx="1">
                  <c:v>jul</c:v>
                </c:pt>
                <c:pt idx="2">
                  <c:v>ago</c:v>
                </c:pt>
                <c:pt idx="3">
                  <c:v>set</c:v>
                </c:pt>
                <c:pt idx="4">
                  <c:v>out</c:v>
                </c:pt>
              </c:strCache>
            </c:strRef>
          </c:cat>
          <c:val>
            <c:numRef>
              <c:f>Analysis!$S$5:$S$10</c:f>
              <c:numCache>
                <c:formatCode>_-* #\ ##0\ "€"_-;\-* #\ ##0\ "€"_-;_-* "-"??\ "€"_-;_-@_-</c:formatCode>
                <c:ptCount val="5"/>
                <c:pt idx="0">
                  <c:v>22.7</c:v>
                </c:pt>
                <c:pt idx="1">
                  <c:v>40.89</c:v>
                </c:pt>
              </c:numCache>
            </c:numRef>
          </c:val>
          <c:smooth val="0"/>
          <c:extLst>
            <c:ext xmlns:c16="http://schemas.microsoft.com/office/drawing/2014/chart" uri="{C3380CC4-5D6E-409C-BE32-E72D297353CC}">
              <c16:uniqueId val="{00000008-D042-4416-901F-E0D5333DC1D8}"/>
            </c:ext>
          </c:extLst>
        </c:ser>
        <c:dLbls>
          <c:showLegendKey val="0"/>
          <c:showVal val="0"/>
          <c:showCatName val="0"/>
          <c:showSerName val="0"/>
          <c:showPercent val="0"/>
          <c:showBubbleSize val="0"/>
        </c:dLbls>
        <c:marker val="1"/>
        <c:smooth val="0"/>
        <c:axId val="628533568"/>
        <c:axId val="628531600"/>
      </c:lineChart>
      <c:catAx>
        <c:axId val="628533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solidFill>
                <a:effectLst>
                  <a:glow rad="63500">
                    <a:schemeClr val="tx1">
                      <a:alpha val="40000"/>
                    </a:schemeClr>
                  </a:glow>
                </a:effectLst>
                <a:latin typeface="Lucida Sans Unicode" panose="020B0602030504020204" pitchFamily="34" charset="0"/>
                <a:ea typeface="+mn-ea"/>
                <a:cs typeface="Lucida Sans Unicode" panose="020B0602030504020204" pitchFamily="34" charset="0"/>
              </a:defRPr>
            </a:pPr>
            <a:endParaRPr lang="pt-PT"/>
          </a:p>
        </c:txPr>
        <c:crossAx val="628531600"/>
        <c:crosses val="autoZero"/>
        <c:auto val="1"/>
        <c:lblAlgn val="ctr"/>
        <c:lblOffset val="100"/>
        <c:noMultiLvlLbl val="0"/>
      </c:catAx>
      <c:valAx>
        <c:axId val="628531600"/>
        <c:scaling>
          <c:orientation val="minMax"/>
          <c:max val="1600"/>
          <c:min val="0"/>
        </c:scaling>
        <c:delete val="0"/>
        <c:axPos val="l"/>
        <c:majorGridlines>
          <c:spPr>
            <a:ln w="9525" cap="flat" cmpd="sng" algn="ctr">
              <a:solidFill>
                <a:schemeClr val="tx1">
                  <a:lumMod val="15000"/>
                  <a:lumOff val="85000"/>
                </a:schemeClr>
              </a:solidFill>
              <a:round/>
            </a:ln>
            <a:effectLst/>
          </c:spPr>
        </c:majorGridlines>
        <c:numFmt formatCode="_-* #\ ##0\ &quot;€&quot;_-;\-* #\ ##0\ &quot;€&quot;_-;_-* &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solidFill>
                <a:effectLst>
                  <a:glow rad="63500">
                    <a:schemeClr val="tx1">
                      <a:alpha val="40000"/>
                    </a:schemeClr>
                  </a:glow>
                </a:effectLst>
                <a:latin typeface="Lucida Sans Unicode" panose="020B0602030504020204" pitchFamily="34" charset="0"/>
                <a:ea typeface="+mn-ea"/>
                <a:cs typeface="Lucida Sans Unicode" panose="020B0602030504020204" pitchFamily="34" charset="0"/>
              </a:defRPr>
            </a:pPr>
            <a:endParaRPr lang="pt-PT"/>
          </a:p>
        </c:txPr>
        <c:crossAx val="628533568"/>
        <c:crosses val="autoZero"/>
        <c:crossBetween val="midCat"/>
        <c:majorUnit val="200"/>
        <c:minorUnit val="100"/>
      </c:valAx>
      <c:spPr>
        <a:noFill/>
        <a:ln>
          <a:noFill/>
        </a:ln>
        <a:effectLst/>
      </c:spPr>
    </c:plotArea>
    <c:legend>
      <c:legendPos val="t"/>
      <c:layout>
        <c:manualLayout>
          <c:xMode val="edge"/>
          <c:yMode val="edge"/>
          <c:x val="3.9047681539807519E-2"/>
          <c:y val="2.7777777777777776E-2"/>
          <c:w val="0.71179461942257216"/>
          <c:h val="0.266549650043744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4"/>
              </a:solidFill>
              <a:effectLst>
                <a:glow rad="63500">
                  <a:schemeClr val="tx1">
                    <a:alpha val="40000"/>
                  </a:schemeClr>
                </a:glow>
              </a:effectLst>
              <a:latin typeface="Lucida Sans Unicode" panose="020B0602030504020204" pitchFamily="34" charset="0"/>
              <a:ea typeface="+mn-ea"/>
              <a:cs typeface="Lucida Sans Unicode" panose="020B0602030504020204" pitchFamily="34" charset="0"/>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Finance Dashboard.xlsm]Analysis!PTDoughnut</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6"/>
          </a:soli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effectLst>
                    <a:glow rad="63500">
                      <a:schemeClr val="tx1">
                        <a:alpha val="40000"/>
                      </a:schemeClr>
                    </a:glow>
                  </a:effectLst>
                  <a:latin typeface="Lucida Sans Unicode" panose="020B0602030504020204" pitchFamily="34" charset="0"/>
                  <a:ea typeface="+mn-ea"/>
                  <a:cs typeface="Lucida Sans Unicode" panose="020B0602030504020204" pitchFamily="34" charset="0"/>
                </a:defRPr>
              </a:pPr>
              <a:endParaRPr lang="pt-PT"/>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w="12700">
            <a:solidFill>
              <a:schemeClr val="bg1"/>
            </a:solidFill>
          </a:ln>
          <a:effectLst/>
        </c:spPr>
      </c:pivotFmt>
      <c:pivotFmt>
        <c:idx val="6"/>
        <c:spPr>
          <a:solidFill>
            <a:schemeClr val="accent1"/>
          </a:solidFill>
          <a:ln w="12700">
            <a:solidFill>
              <a:schemeClr val="bg1"/>
            </a:solidFill>
          </a:ln>
          <a:effectLst/>
        </c:spPr>
      </c:pivotFmt>
    </c:pivotFmts>
    <c:plotArea>
      <c:layout/>
      <c:doughnutChart>
        <c:varyColors val="1"/>
        <c:ser>
          <c:idx val="0"/>
          <c:order val="0"/>
          <c:tx>
            <c:strRef>
              <c:f>Analysis!$AF$1</c:f>
              <c:strCache>
                <c:ptCount val="1"/>
                <c:pt idx="0">
                  <c:v>Total</c:v>
                </c:pt>
              </c:strCache>
            </c:strRef>
          </c:tx>
          <c:spPr>
            <a:solidFill>
              <a:schemeClr val="accent6"/>
            </a:solidFill>
            <a:ln w="12700">
              <a:solidFill>
                <a:schemeClr val="bg1"/>
              </a:solidFill>
            </a:ln>
          </c:spPr>
          <c:dPt>
            <c:idx val="0"/>
            <c:bubble3D val="0"/>
            <c:spPr>
              <a:solidFill>
                <a:schemeClr val="accent5"/>
              </a:solidFill>
              <a:ln w="12700">
                <a:solidFill>
                  <a:schemeClr val="bg1"/>
                </a:solidFill>
              </a:ln>
              <a:effectLst/>
            </c:spPr>
            <c:extLst>
              <c:ext xmlns:c16="http://schemas.microsoft.com/office/drawing/2014/chart" uri="{C3380CC4-5D6E-409C-BE32-E72D297353CC}">
                <c16:uniqueId val="{00000001-DA45-429E-A878-3F9B5D44BF4F}"/>
              </c:ext>
            </c:extLst>
          </c:dPt>
          <c:dPt>
            <c:idx val="1"/>
            <c:bubble3D val="0"/>
            <c:spPr>
              <a:solidFill>
                <a:schemeClr val="accent1"/>
              </a:solidFill>
              <a:ln w="12700">
                <a:solidFill>
                  <a:schemeClr val="bg1"/>
                </a:solidFill>
              </a:ln>
              <a:effectLst/>
            </c:spPr>
            <c:extLst>
              <c:ext xmlns:c16="http://schemas.microsoft.com/office/drawing/2014/chart" uri="{C3380CC4-5D6E-409C-BE32-E72D297353CC}">
                <c16:uniqueId val="{00000003-DA45-429E-A878-3F9B5D44BF4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effectLst>
                      <a:glow rad="63500">
                        <a:schemeClr val="tx1">
                          <a:alpha val="40000"/>
                        </a:schemeClr>
                      </a:glow>
                    </a:effectLst>
                    <a:latin typeface="Lucida Sans Unicode" panose="020B0602030504020204" pitchFamily="34" charset="0"/>
                    <a:ea typeface="+mn-ea"/>
                    <a:cs typeface="Lucida Sans Unicode" panose="020B0602030504020204" pitchFamily="34" charset="0"/>
                  </a:defRPr>
                </a:pPr>
                <a:endParaRPr lang="pt-PT"/>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Analysis!$AE$2:$AE$4</c:f>
              <c:strCache>
                <c:ptCount val="2"/>
                <c:pt idx="0">
                  <c:v>Expense</c:v>
                </c:pt>
                <c:pt idx="1">
                  <c:v>Income</c:v>
                </c:pt>
              </c:strCache>
            </c:strRef>
          </c:cat>
          <c:val>
            <c:numRef>
              <c:f>Analysis!$AF$2:$AF$4</c:f>
              <c:numCache>
                <c:formatCode>_-* #\ ##0\ "€"_-;\-* #\ ##0\ "€"_-;_-* "-"??\ "€"_-;_-@_-</c:formatCode>
                <c:ptCount val="2"/>
                <c:pt idx="0">
                  <c:v>4584.3900000000003</c:v>
                </c:pt>
                <c:pt idx="1">
                  <c:v>20</c:v>
                </c:pt>
              </c:numCache>
            </c:numRef>
          </c:val>
          <c:extLst>
            <c:ext xmlns:c16="http://schemas.microsoft.com/office/drawing/2014/chart" uri="{C3380CC4-5D6E-409C-BE32-E72D297353CC}">
              <c16:uniqueId val="{00000004-DA45-429E-A878-3F9B5D44BF4F}"/>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l"/>
      <c:legendEntry>
        <c:idx val="0"/>
        <c:txPr>
          <a:bodyPr rot="0" spcFirstLastPara="1" vertOverflow="ellipsis" vert="horz" wrap="square" anchor="ctr" anchorCtr="1"/>
          <a:lstStyle/>
          <a:p>
            <a:pPr>
              <a:defRPr sz="1100" b="0" i="0" u="none" strike="noStrike" kern="1200" baseline="0">
                <a:solidFill>
                  <a:schemeClr val="accent4"/>
                </a:solidFill>
                <a:effectLst>
                  <a:glow rad="63500">
                    <a:schemeClr val="tx1">
                      <a:alpha val="40000"/>
                    </a:schemeClr>
                  </a:glow>
                </a:effectLst>
                <a:latin typeface="Lucida Sans Unicode" panose="020B0602030504020204" pitchFamily="34" charset="0"/>
                <a:ea typeface="+mn-ea"/>
                <a:cs typeface="Lucida Sans Unicode" panose="020B0602030504020204" pitchFamily="34" charset="0"/>
              </a:defRPr>
            </a:pPr>
            <a:endParaRPr lang="pt-PT"/>
          </a:p>
        </c:txPr>
      </c:legendEntry>
      <c:legendEntry>
        <c:idx val="1"/>
        <c:txPr>
          <a:bodyPr rot="0" spcFirstLastPara="1" vertOverflow="ellipsis" vert="horz" wrap="square" anchor="ctr" anchorCtr="1"/>
          <a:lstStyle/>
          <a:p>
            <a:pPr>
              <a:defRPr sz="1100" b="0" i="0" u="none" strike="noStrike" kern="1200" baseline="0">
                <a:solidFill>
                  <a:schemeClr val="accent4"/>
                </a:solidFill>
                <a:effectLst>
                  <a:glow rad="63500">
                    <a:schemeClr val="tx1">
                      <a:alpha val="40000"/>
                    </a:schemeClr>
                  </a:glow>
                </a:effectLst>
                <a:latin typeface="Lucida Sans Unicode" panose="020B0602030504020204" pitchFamily="34" charset="0"/>
                <a:ea typeface="+mn-ea"/>
                <a:cs typeface="Lucida Sans Unicode" panose="020B0602030504020204" pitchFamily="34" charset="0"/>
              </a:defRPr>
            </a:pPr>
            <a:endParaRPr lang="pt-PT"/>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accent1"/>
              </a:solidFill>
              <a:effectLst>
                <a:glow rad="63500">
                  <a:schemeClr val="tx1">
                    <a:alpha val="40000"/>
                  </a:schemeClr>
                </a:glow>
              </a:effectLst>
              <a:latin typeface="Lucida Sans Unicode" panose="020B0602030504020204" pitchFamily="34" charset="0"/>
              <a:ea typeface="+mn-ea"/>
              <a:cs typeface="Lucida Sans Unicode" panose="020B0602030504020204" pitchFamily="34" charset="0"/>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_xlchart.v1.4</cx:f>
      </cx:numDim>
    </cx:data>
  </cx:chartData>
  <cx:chart>
    <cx:title pos="t" align="ctr" overlay="0">
      <cx:tx>
        <cx:txData>
          <cx:v> </cx:v>
        </cx:txData>
      </cx:tx>
      <cx:txPr>
        <a:bodyPr spcFirstLastPara="1" vertOverflow="ellipsis" horzOverflow="overflow" wrap="square" lIns="0" tIns="0" rIns="0" bIns="0" anchor="ctr" anchorCtr="1"/>
        <a:lstStyle/>
        <a:p>
          <a:pPr algn="ctr" rtl="0">
            <a:defRPr>
              <a:solidFill>
                <a:schemeClr val="accent4"/>
              </a:solidFill>
              <a:latin typeface="Lucida Sans Unicode" panose="020B0602030504020204" pitchFamily="34" charset="0"/>
              <a:ea typeface="Lucida Sans Unicode" panose="020B0602030504020204" pitchFamily="34" charset="0"/>
              <a:cs typeface="Lucida Sans Unicode" panose="020B0602030504020204" pitchFamily="34" charset="0"/>
            </a:defRPr>
          </a:pPr>
          <a:r>
            <a:rPr lang="en-US" sz="1400" b="0" i="0" u="none" strike="noStrike" baseline="0">
              <a:solidFill>
                <a:schemeClr val="accent4"/>
              </a:solidFill>
              <a:latin typeface="Lucida Sans Unicode" panose="020B0602030504020204" pitchFamily="34" charset="0"/>
              <a:cs typeface="Lucida Sans Unicode" panose="020B0602030504020204" pitchFamily="34" charset="0"/>
            </a:rPr>
            <a:t> </a:t>
          </a:r>
        </a:p>
      </cx:txPr>
    </cx:title>
    <cx:plotArea>
      <cx:plotAreaRegion>
        <cx:series layoutId="treemap" uniqueId="{092BE739-40DD-47F6-8578-28A2961D8902}">
          <cx:tx>
            <cx:txData>
              <cx:f>_xlchart.v1.3</cx:f>
              <cx:v>Sum of Amount</cx:v>
            </cx:txData>
          </cx:tx>
          <cx:dataLabels>
            <cx:txPr>
              <a:bodyPr spcFirstLastPara="1" vertOverflow="ellipsis" horzOverflow="overflow" wrap="square" lIns="0" tIns="0" rIns="0" bIns="0" anchor="ctr" anchorCtr="1"/>
              <a:lstStyle/>
              <a:p>
                <a:pPr algn="ctr" rtl="0">
                  <a:defRPr b="0">
                    <a:ln w="3175" cap="flat" cmpd="sng">
                      <a:noFill/>
                      <a:bevel/>
                    </a:ln>
                    <a:solidFill>
                      <a:schemeClr val="accent4"/>
                    </a:solidFill>
                    <a:effectLst>
                      <a:glow rad="63500">
                        <a:schemeClr val="tx1">
                          <a:alpha val="40000"/>
                        </a:schemeClr>
                      </a:glow>
                      <a:outerShdw blurRad="50800" dist="38100" dir="5400000" algn="t" rotWithShape="0">
                        <a:prstClr val="black">
                          <a:alpha val="40000"/>
                        </a:prstClr>
                      </a:outerShdw>
                    </a:effectLst>
                    <a:latin typeface="Lucida Sans Unicode" panose="020B0602030504020204" pitchFamily="34" charset="0"/>
                    <a:ea typeface="Lucida Sans Unicode" panose="020B0602030504020204" pitchFamily="34" charset="0"/>
                    <a:cs typeface="Lucida Sans Unicode" panose="020B0602030504020204" pitchFamily="34" charset="0"/>
                  </a:defRPr>
                </a:pPr>
                <a:endParaRPr lang="en-US" sz="900" b="0" i="0" u="none" strike="noStrike" baseline="0">
                  <a:ln w="3175" cap="flat" cmpd="sng">
                    <a:noFill/>
                    <a:bevel/>
                  </a:ln>
                  <a:solidFill>
                    <a:schemeClr val="accent4"/>
                  </a:solidFill>
                  <a:effectLst>
                    <a:glow rad="63500">
                      <a:schemeClr val="tx1">
                        <a:alpha val="40000"/>
                      </a:schemeClr>
                    </a:glow>
                    <a:outerShdw blurRad="50800" dist="38100" dir="5400000" algn="t" rotWithShape="0">
                      <a:prstClr val="black">
                        <a:alpha val="40000"/>
                      </a:prstClr>
                    </a:outerShdw>
                  </a:effectLst>
                  <a:latin typeface="Lucida Sans Unicode" panose="020B0602030504020204" pitchFamily="34" charset="0"/>
                  <a:cs typeface="Lucida Sans Unicode" panose="020B0602030504020204" pitchFamily="34" charset="0"/>
                </a:endParaRPr>
              </a:p>
            </cx:txPr>
            <cx:visibility seriesName="0" categoryName="1" value="1"/>
            <cx:separator> </cx:separator>
            <cx:dataLabel idx="7">
              <cx:txPr>
                <a:bodyPr spcFirstLastPara="1" vertOverflow="ellipsis" horzOverflow="overflow" wrap="square" lIns="0" tIns="0" rIns="0" bIns="0" anchor="ctr" anchorCtr="1"/>
                <a:lstStyle/>
                <a:p>
                  <a:pPr algn="ctr" rtl="0">
                    <a:defRPr>
                      <a:ln w="3175">
                        <a:noFill/>
                      </a:ln>
                    </a:defRPr>
                  </a:pPr>
                  <a:r>
                    <a:rPr lang="en-US" sz="900" b="0" i="0" u="none" strike="noStrike" baseline="0">
                      <a:ln w="3175">
                        <a:noFill/>
                      </a:ln>
                      <a:solidFill>
                        <a:schemeClr val="accent4"/>
                      </a:solidFill>
                      <a:latin typeface="Lucida Sans Unicode" panose="020B0602030504020204" pitchFamily="34" charset="0"/>
                      <a:cs typeface="Lucida Sans Unicode" panose="020B0602030504020204" pitchFamily="34" charset="0"/>
                    </a:rPr>
                    <a:t>Restaurants   212 € </a:t>
                  </a:r>
                </a:p>
              </cx:txPr>
              <cx:visibility seriesName="0" categoryName="1" value="1"/>
              <cx:separator> </cx:separator>
            </cx:dataLabel>
          </cx:dataLabels>
          <cx:dataId val="0"/>
          <cx:layoutPr>
            <cx:parentLabelLayout val="overlapping"/>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_xlchart.v5.1</cx:f>
      </cx:numDim>
    </cx:data>
  </cx:chartData>
  <cx:chart>
    <cx:title pos="t" align="ctr" overlay="0">
      <cx:tx>
        <cx:txData>
          <cx:v> </cx:v>
        </cx:txData>
      </cx:tx>
      <cx:spPr>
        <a:effectLst/>
      </cx:spPr>
      <cx:txPr>
        <a:bodyPr spcFirstLastPara="1" vertOverflow="ellipsis" horzOverflow="overflow" wrap="square" lIns="0" tIns="0" rIns="0" bIns="0" anchor="ctr" anchorCtr="1"/>
        <a:lstStyle/>
        <a:p>
          <a:pPr algn="ctr" rtl="0">
            <a:defRPr>
              <a:solidFill>
                <a:schemeClr val="accent4"/>
              </a:solidFill>
              <a:latin typeface="Lucida Sans Unicode" panose="020B0602030504020204" pitchFamily="34" charset="0"/>
              <a:ea typeface="Lucida Sans Unicode" panose="020B0602030504020204" pitchFamily="34" charset="0"/>
              <a:cs typeface="Lucida Sans Unicode" panose="020B0602030504020204" pitchFamily="34" charset="0"/>
            </a:defRPr>
          </a:pPr>
          <a:r>
            <a:rPr lang="en-US" sz="1400" b="0" i="0" u="none" strike="noStrike" baseline="0">
              <a:solidFill>
                <a:schemeClr val="accent4"/>
              </a:solidFill>
              <a:latin typeface="Lucida Sans Unicode" panose="020B0602030504020204" pitchFamily="34" charset="0"/>
              <a:cs typeface="Lucida Sans Unicode" panose="020B0602030504020204" pitchFamily="34" charset="0"/>
            </a:rPr>
            <a:t> </a:t>
          </a:r>
        </a:p>
      </cx:txPr>
    </cx:title>
    <cx:plotArea>
      <cx:plotAreaRegion>
        <cx:plotSurface>
          <cx:spPr>
            <a:noFill/>
            <a:ln>
              <a:noFill/>
            </a:ln>
          </cx:spPr>
        </cx:plotSurface>
        <cx:series layoutId="waterfall" uniqueId="{24D8C95F-E799-45D1-B30F-744E8099968F}">
          <cx:spPr>
            <a:ln w="12700">
              <a:solidFill>
                <a:schemeClr val="bg1"/>
              </a:solidFill>
            </a:ln>
          </cx:spPr>
          <cx:dataLabels pos="outEnd">
            <cx:txPr>
              <a:bodyPr spcFirstLastPara="1" vertOverflow="ellipsis" horzOverflow="overflow" wrap="square" lIns="0" tIns="0" rIns="0" bIns="0" anchor="ctr" anchorCtr="1"/>
              <a:lstStyle/>
              <a:p>
                <a:pPr algn="ctr" rtl="0">
                  <a:defRPr>
                    <a:solidFill>
                      <a:schemeClr val="accent4"/>
                    </a:solidFill>
                    <a:effectLst>
                      <a:glow rad="63500">
                        <a:schemeClr val="tx1">
                          <a:alpha val="40000"/>
                        </a:schemeClr>
                      </a:glow>
                    </a:effectLst>
                  </a:defRPr>
                </a:pPr>
                <a:endParaRPr lang="en-US" sz="900" b="0" i="0" u="none" strike="noStrike" baseline="0">
                  <a:solidFill>
                    <a:schemeClr val="accent4"/>
                  </a:solidFill>
                  <a:effectLst>
                    <a:glow rad="63500">
                      <a:schemeClr val="tx1">
                        <a:alpha val="40000"/>
                      </a:schemeClr>
                    </a:glow>
                  </a:effectLst>
                  <a:latin typeface="Calibri" panose="020F0502020204030204"/>
                </a:endParaRPr>
              </a:p>
            </cx:txPr>
            <cx:visibility seriesName="0" categoryName="0" value="1"/>
            <cx:separator>, </cx:separator>
          </cx:dataLabels>
          <cx:dataId val="0"/>
          <cx:layoutPr>
            <cx:subtotals>
              <cx:idx val="10"/>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accent4"/>
                </a:solidFill>
                <a:effectLst>
                  <a:glow rad="63500">
                    <a:schemeClr val="tx1">
                      <a:alpha val="40000"/>
                    </a:schemeClr>
                  </a:glow>
                </a:effectLst>
                <a:latin typeface="Lucida Sans Unicode" panose="020B0602030504020204" pitchFamily="34" charset="0"/>
                <a:ea typeface="Lucida Sans Unicode" panose="020B0602030504020204" pitchFamily="34" charset="0"/>
                <a:cs typeface="Lucida Sans Unicode" panose="020B0602030504020204" pitchFamily="34" charset="0"/>
              </a:defRPr>
            </a:pPr>
            <a:endParaRPr lang="en-US" sz="900" b="0" i="0" u="none" strike="noStrike" baseline="0">
              <a:solidFill>
                <a:schemeClr val="accent4"/>
              </a:solidFill>
              <a:effectLst>
                <a:glow rad="63500">
                  <a:schemeClr val="tx1">
                    <a:alpha val="40000"/>
                  </a:schemeClr>
                </a:glow>
              </a:effectLst>
              <a:latin typeface="Lucida Sans Unicode" panose="020B0602030504020204" pitchFamily="34" charset="0"/>
              <a:cs typeface="Lucida Sans Unicode" panose="020B0602030504020204" pitchFamily="34" charset="0"/>
            </a:endParaRPr>
          </a:p>
        </cx:txPr>
      </cx:axis>
      <cx:axis id="1" hidden="1">
        <cx:valScaling/>
        <cx:tickLabels/>
      </cx:axis>
    </cx:plotArea>
    <cx:legend pos="t" align="ctr" overlay="0">
      <cx:spPr>
        <a:noFill/>
        <a:ln>
          <a:noFill/>
        </a:ln>
      </cx:spPr>
      <cx:txPr>
        <a:bodyPr spcFirstLastPara="1" vertOverflow="ellipsis" horzOverflow="overflow" wrap="square" lIns="0" tIns="0" rIns="0" bIns="0" anchor="ctr" anchorCtr="1"/>
        <a:lstStyle/>
        <a:p>
          <a:pPr algn="ctr" rtl="0">
            <a:defRPr>
              <a:solidFill>
                <a:schemeClr val="accent4"/>
              </a:solidFill>
              <a:effectLst>
                <a:glow rad="63500">
                  <a:schemeClr val="tx2">
                    <a:alpha val="40000"/>
                  </a:schemeClr>
                </a:glow>
              </a:effectLst>
              <a:latin typeface="Lucida Sans Unicode" panose="020B0602030504020204" pitchFamily="34" charset="0"/>
              <a:ea typeface="Lucida Sans Unicode" panose="020B0602030504020204" pitchFamily="34" charset="0"/>
              <a:cs typeface="Lucida Sans Unicode" panose="020B0602030504020204" pitchFamily="34" charset="0"/>
            </a:defRPr>
          </a:pPr>
          <a:endParaRPr lang="en-US" sz="900" b="0" i="0" u="none" strike="noStrike" baseline="0">
            <a:solidFill>
              <a:schemeClr val="accent4"/>
            </a:solidFill>
            <a:effectLst>
              <a:glow rad="63500">
                <a:schemeClr val="tx2">
                  <a:alpha val="40000"/>
                </a:schemeClr>
              </a:glow>
            </a:effectLst>
            <a:latin typeface="Lucida Sans Unicode" panose="020B0602030504020204" pitchFamily="34" charset="0"/>
            <a:cs typeface="Lucida Sans Unicode" panose="020B0602030504020204" pitchFamily="34" charset="0"/>
          </a:endParaRPr>
        </a:p>
      </cx:txPr>
    </cx:legend>
  </cx:chart>
  <cx:spPr>
    <a:noFill/>
    <a:ln>
      <a:noFill/>
    </a:ln>
  </cx:spPr>
  <cx:fmtOvrs>
    <cx:fmtOvr idx="2">
      <cx:spPr>
        <a:solidFill>
          <a:schemeClr val="bg2"/>
        </a:solidFill>
        <a:ln w="19050" cap="sq">
          <a:solidFill>
            <a:schemeClr val="bg1"/>
          </a:solidFill>
        </a:ln>
        <a:effectLst/>
      </cx:spPr>
    </cx:fmtOvr>
    <cx:fmtOvr idx="0">
      <cx:spPr>
        <a:solidFill>
          <a:schemeClr val="accent1"/>
        </a:solidFill>
        <a:ln w="12700">
          <a:solidFill>
            <a:schemeClr val="bg1"/>
          </a:solidFill>
        </a:ln>
      </cx:spPr>
    </cx:fmtOvr>
    <cx:fmtOvr idx="1">
      <cx:spPr>
        <a:solidFill>
          <a:schemeClr val="accent5"/>
        </a:solidFill>
        <a:ln w="57150">
          <a:solidFill>
            <a:schemeClr val="bg1"/>
          </a:solidFill>
        </a:ln>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72">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microsoft.com/office/2014/relationships/chartEx" Target="../charts/chartEx1.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3.xml"/><Relationship Id="rId2" Type="http://schemas.openxmlformats.org/officeDocument/2006/relationships/image" Target="../media/image2.svg"/><Relationship Id="rId16" Type="http://schemas.openxmlformats.org/officeDocument/2006/relationships/chart" Target="../charts/chart2.xml"/><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1.xml"/><Relationship Id="rId10" Type="http://schemas.openxmlformats.org/officeDocument/2006/relationships/image" Target="../media/image10.svg"/><Relationship Id="rId19" Type="http://schemas.microsoft.com/office/2014/relationships/chartEx" Target="../charts/chartEx2.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0</xdr:col>
      <xdr:colOff>114300</xdr:colOff>
      <xdr:row>25</xdr:row>
      <xdr:rowOff>66675</xdr:rowOff>
    </xdr:from>
    <xdr:to>
      <xdr:col>7</xdr:col>
      <xdr:colOff>419100</xdr:colOff>
      <xdr:row>40</xdr:row>
      <xdr:rowOff>76200</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114300" y="4591050"/>
          <a:ext cx="4572000" cy="2724150"/>
        </a:xfrm>
        <a:prstGeom prst="roundRect">
          <a:avLst>
            <a:gd name="adj" fmla="val 2975"/>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11</xdr:col>
      <xdr:colOff>381000</xdr:colOff>
      <xdr:row>3</xdr:row>
      <xdr:rowOff>161925</xdr:rowOff>
    </xdr:from>
    <xdr:to>
      <xdr:col>24</xdr:col>
      <xdr:colOff>142875</xdr:colOff>
      <xdr:row>25</xdr:row>
      <xdr:rowOff>28575</xdr:rowOff>
    </xdr:to>
    <xdr:sp macro="" textlink="">
      <xdr:nvSpPr>
        <xdr:cNvPr id="32" name="Rectangle: Rounded Corners 31">
          <a:extLst>
            <a:ext uri="{FF2B5EF4-FFF2-40B4-BE49-F238E27FC236}">
              <a16:creationId xmlns:a16="http://schemas.microsoft.com/office/drawing/2014/main" id="{00000000-0008-0000-0000-000020000000}"/>
            </a:ext>
          </a:extLst>
        </xdr:cNvPr>
        <xdr:cNvSpPr/>
      </xdr:nvSpPr>
      <xdr:spPr>
        <a:xfrm>
          <a:off x="7086600" y="704850"/>
          <a:ext cx="7686675" cy="3848100"/>
        </a:xfrm>
        <a:prstGeom prst="roundRect">
          <a:avLst>
            <a:gd name="adj" fmla="val 2975"/>
          </a:avLst>
        </a:prstGeom>
        <a:gradFill flip="none" rotWithShape="1">
          <a:gsLst>
            <a:gs pos="53000">
              <a:schemeClr val="accent2"/>
            </a:gs>
            <a:gs pos="62000">
              <a:schemeClr val="accent2">
                <a:lumMod val="98000"/>
                <a:lumOff val="2000"/>
              </a:schemeClr>
            </a:gs>
            <a:gs pos="95000">
              <a:schemeClr val="accent6"/>
            </a:gs>
            <a:gs pos="0">
              <a:schemeClr val="accent6"/>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7</xdr:col>
      <xdr:colOff>476250</xdr:colOff>
      <xdr:row>3</xdr:row>
      <xdr:rowOff>38100</xdr:rowOff>
    </xdr:from>
    <xdr:to>
      <xdr:col>11</xdr:col>
      <xdr:colOff>323850</xdr:colOff>
      <xdr:row>13</xdr:row>
      <xdr:rowOff>38099</xdr:rowOff>
    </xdr:to>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4743450" y="581025"/>
          <a:ext cx="3095625" cy="1809749"/>
        </a:xfrm>
        <a:prstGeom prst="roundRect">
          <a:avLst>
            <a:gd name="adj" fmla="val 4036"/>
          </a:avLst>
        </a:prstGeom>
        <a:gradFill flip="none" rotWithShape="1">
          <a:gsLst>
            <a:gs pos="100000">
              <a:schemeClr val="accent6"/>
            </a:gs>
            <a:gs pos="0">
              <a:schemeClr val="accent2"/>
            </a:gs>
          </a:gsLst>
          <a:lin ang="66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0</xdr:col>
      <xdr:colOff>95250</xdr:colOff>
      <xdr:row>0</xdr:row>
      <xdr:rowOff>0</xdr:rowOff>
    </xdr:from>
    <xdr:to>
      <xdr:col>24</xdr:col>
      <xdr:colOff>124050</xdr:colOff>
      <xdr:row>3</xdr:row>
      <xdr:rowOff>123825</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95250" y="0"/>
          <a:ext cx="14659200" cy="666750"/>
        </a:xfrm>
        <a:prstGeom prst="roundRect">
          <a:avLst/>
        </a:prstGeom>
        <a:gradFill flip="none" rotWithShape="1">
          <a:gsLst>
            <a:gs pos="0">
              <a:schemeClr val="accent6"/>
            </a:gs>
            <a:gs pos="50000">
              <a:schemeClr val="accent2"/>
            </a:gs>
            <a:gs pos="100000">
              <a:schemeClr val="accent6"/>
            </a:gs>
          </a:gsLst>
          <a:lin ang="9000000" scaled="0"/>
          <a:tileRect/>
        </a:gra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pt-PT" sz="3000">
              <a:solidFill>
                <a:schemeClr val="accent4"/>
              </a:solidFill>
              <a:latin typeface="Lucida Sans Unicode" panose="020B0602030504020204" pitchFamily="34" charset="0"/>
              <a:cs typeface="Lucida Sans Unicode" panose="020B0602030504020204" pitchFamily="34" charset="0"/>
            </a:rPr>
            <a:t>Personal</a:t>
          </a:r>
          <a:r>
            <a:rPr lang="pt-PT" sz="3000" baseline="0">
              <a:solidFill>
                <a:schemeClr val="accent4"/>
              </a:solidFill>
              <a:latin typeface="Lucida Sans Unicode" panose="020B0602030504020204" pitchFamily="34" charset="0"/>
              <a:cs typeface="Lucida Sans Unicode" panose="020B0602030504020204" pitchFamily="34" charset="0"/>
            </a:rPr>
            <a:t> Finance Dashboard</a:t>
          </a:r>
          <a:endParaRPr lang="pt-PT" sz="3000">
            <a:solidFill>
              <a:schemeClr val="accent4"/>
            </a:solidFill>
            <a:latin typeface="Lucida Sans Unicode" panose="020B0602030504020204" pitchFamily="34" charset="0"/>
            <a:cs typeface="Lucida Sans Unicode" panose="020B0602030504020204" pitchFamily="34" charset="0"/>
          </a:endParaRPr>
        </a:p>
      </xdr:txBody>
    </xdr:sp>
    <xdr:clientData/>
  </xdr:twoCellAnchor>
  <xdr:twoCellAnchor editAs="oneCell">
    <xdr:from>
      <xdr:col>15</xdr:col>
      <xdr:colOff>470657</xdr:colOff>
      <xdr:row>0</xdr:row>
      <xdr:rowOff>75558</xdr:rowOff>
    </xdr:from>
    <xdr:to>
      <xdr:col>16</xdr:col>
      <xdr:colOff>221057</xdr:colOff>
      <xdr:row>2</xdr:row>
      <xdr:rowOff>73608</xdr:rowOff>
    </xdr:to>
    <xdr:pic>
      <xdr:nvPicPr>
        <xdr:cNvPr id="10" name="Graphic 9" descr="Dice">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614657" y="75558"/>
          <a:ext cx="360000" cy="360000"/>
        </a:xfrm>
        <a:prstGeom prst="rect">
          <a:avLst/>
        </a:prstGeom>
      </xdr:spPr>
    </xdr:pic>
    <xdr:clientData/>
  </xdr:twoCellAnchor>
  <xdr:twoCellAnchor editAs="oneCell">
    <xdr:from>
      <xdr:col>13</xdr:col>
      <xdr:colOff>583639</xdr:colOff>
      <xdr:row>0</xdr:row>
      <xdr:rowOff>75558</xdr:rowOff>
    </xdr:from>
    <xdr:to>
      <xdr:col>14</xdr:col>
      <xdr:colOff>334039</xdr:colOff>
      <xdr:row>2</xdr:row>
      <xdr:rowOff>73608</xdr:rowOff>
    </xdr:to>
    <xdr:pic>
      <xdr:nvPicPr>
        <xdr:cNvPr id="12" name="Graphic 11" descr="Hourglass">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508439" y="75558"/>
          <a:ext cx="360000" cy="360000"/>
        </a:xfrm>
        <a:prstGeom prst="rect">
          <a:avLst/>
        </a:prstGeom>
      </xdr:spPr>
    </xdr:pic>
    <xdr:clientData/>
  </xdr:twoCellAnchor>
  <xdr:twoCellAnchor editAs="oneCell">
    <xdr:from>
      <xdr:col>20</xdr:col>
      <xdr:colOff>389565</xdr:colOff>
      <xdr:row>0</xdr:row>
      <xdr:rowOff>75558</xdr:rowOff>
    </xdr:from>
    <xdr:to>
      <xdr:col>21</xdr:col>
      <xdr:colOff>139965</xdr:colOff>
      <xdr:row>2</xdr:row>
      <xdr:rowOff>73608</xdr:rowOff>
    </xdr:to>
    <xdr:pic>
      <xdr:nvPicPr>
        <xdr:cNvPr id="16" name="Graphic 15" descr="Medical">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581565" y="75558"/>
          <a:ext cx="360000" cy="360000"/>
        </a:xfrm>
        <a:prstGeom prst="rect">
          <a:avLst/>
        </a:prstGeom>
      </xdr:spPr>
    </xdr:pic>
    <xdr:clientData/>
  </xdr:twoCellAnchor>
  <xdr:twoCellAnchor editAs="oneCell">
    <xdr:from>
      <xdr:col>12</xdr:col>
      <xdr:colOff>40350</xdr:colOff>
      <xdr:row>0</xdr:row>
      <xdr:rowOff>79679</xdr:rowOff>
    </xdr:from>
    <xdr:to>
      <xdr:col>12</xdr:col>
      <xdr:colOff>400350</xdr:colOff>
      <xdr:row>2</xdr:row>
      <xdr:rowOff>77729</xdr:rowOff>
    </xdr:to>
    <xdr:pic>
      <xdr:nvPicPr>
        <xdr:cNvPr id="18" name="Graphic 17" descr="Home">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355550" y="79679"/>
          <a:ext cx="360000" cy="360000"/>
        </a:xfrm>
        <a:prstGeom prst="rect">
          <a:avLst/>
        </a:prstGeom>
      </xdr:spPr>
    </xdr:pic>
    <xdr:clientData/>
  </xdr:twoCellAnchor>
  <xdr:twoCellAnchor editAs="oneCell">
    <xdr:from>
      <xdr:col>17</xdr:col>
      <xdr:colOff>329100</xdr:colOff>
      <xdr:row>0</xdr:row>
      <xdr:rowOff>75558</xdr:rowOff>
    </xdr:from>
    <xdr:to>
      <xdr:col>18</xdr:col>
      <xdr:colOff>79500</xdr:colOff>
      <xdr:row>2</xdr:row>
      <xdr:rowOff>73608</xdr:rowOff>
    </xdr:to>
    <xdr:pic>
      <xdr:nvPicPr>
        <xdr:cNvPr id="26" name="Graphic 25" descr="Car">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692300" y="75558"/>
          <a:ext cx="360000" cy="360000"/>
        </a:xfrm>
        <a:prstGeom prst="rect">
          <a:avLst/>
        </a:prstGeom>
      </xdr:spPr>
    </xdr:pic>
    <xdr:clientData/>
  </xdr:twoCellAnchor>
  <xdr:twoCellAnchor editAs="oneCell">
    <xdr:from>
      <xdr:col>19</xdr:col>
      <xdr:colOff>111343</xdr:colOff>
      <xdr:row>0</xdr:row>
      <xdr:rowOff>75558</xdr:rowOff>
    </xdr:from>
    <xdr:to>
      <xdr:col>19</xdr:col>
      <xdr:colOff>471343</xdr:colOff>
      <xdr:row>2</xdr:row>
      <xdr:rowOff>73608</xdr:rowOff>
    </xdr:to>
    <xdr:pic>
      <xdr:nvPicPr>
        <xdr:cNvPr id="30" name="Graphic 29" descr="Lightbulb">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1693743" y="75558"/>
          <a:ext cx="360000" cy="360000"/>
        </a:xfrm>
        <a:prstGeom prst="rect">
          <a:avLst/>
        </a:prstGeom>
      </xdr:spPr>
    </xdr:pic>
    <xdr:clientData/>
  </xdr:twoCellAnchor>
  <xdr:oneCellAnchor>
    <xdr:from>
      <xdr:col>15</xdr:col>
      <xdr:colOff>342900</xdr:colOff>
      <xdr:row>2</xdr:row>
      <xdr:rowOff>0</xdr:rowOff>
    </xdr:from>
    <xdr:ext cx="1235916" cy="328808"/>
    <xdr:sp macro="" textlink="Analysis!A5">
      <xdr:nvSpPr>
        <xdr:cNvPr id="31" name="TextBox 30">
          <a:extLst>
            <a:ext uri="{FF2B5EF4-FFF2-40B4-BE49-F238E27FC236}">
              <a16:creationId xmlns:a16="http://schemas.microsoft.com/office/drawing/2014/main" id="{00000000-0008-0000-0000-00001F000000}"/>
            </a:ext>
          </a:extLst>
        </xdr:cNvPr>
        <xdr:cNvSpPr txBox="1"/>
      </xdr:nvSpPr>
      <xdr:spPr>
        <a:xfrm>
          <a:off x="9486900" y="361950"/>
          <a:ext cx="1235916" cy="32880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3C4D1B2E-EA08-471F-B4CE-DF8B1491C1BA}" type="TxLink">
            <a:rPr lang="en-US" sz="1200" b="1" i="0" u="none" strike="noStrike">
              <a:solidFill>
                <a:schemeClr val="accent4"/>
              </a:solidFill>
              <a:effectLst/>
              <a:latin typeface="Lucida Sans Unicode" panose="020B0602030504020204" pitchFamily="34" charset="0"/>
              <a:cs typeface="Lucida Sans Unicode" panose="020B0602030504020204" pitchFamily="34" charset="0"/>
            </a:rPr>
            <a:pPr/>
            <a:t>Entertainment</a:t>
          </a:fld>
          <a:endParaRPr lang="pt-PT" sz="1200" b="1">
            <a:solidFill>
              <a:schemeClr val="accent4"/>
            </a:solidFill>
            <a:effectLst/>
            <a:latin typeface="Lucida Sans Unicode" panose="020B0602030504020204" pitchFamily="34" charset="0"/>
            <a:cs typeface="Lucida Sans Unicode" panose="020B0602030504020204" pitchFamily="34" charset="0"/>
          </a:endParaRPr>
        </a:p>
      </xdr:txBody>
    </xdr:sp>
    <xdr:clientData/>
  </xdr:oneCellAnchor>
  <xdr:twoCellAnchor editAs="oneCell">
    <xdr:from>
      <xdr:col>22</xdr:col>
      <xdr:colOff>171808</xdr:colOff>
      <xdr:row>0</xdr:row>
      <xdr:rowOff>75558</xdr:rowOff>
    </xdr:from>
    <xdr:to>
      <xdr:col>22</xdr:col>
      <xdr:colOff>531808</xdr:colOff>
      <xdr:row>2</xdr:row>
      <xdr:rowOff>73608</xdr:rowOff>
    </xdr:to>
    <xdr:pic>
      <xdr:nvPicPr>
        <xdr:cNvPr id="2050" name="Graphic 2049" descr="Gold bars">
          <a:extLst>
            <a:ext uri="{FF2B5EF4-FFF2-40B4-BE49-F238E27FC236}">
              <a16:creationId xmlns:a16="http://schemas.microsoft.com/office/drawing/2014/main" id="{00000000-0008-0000-0000-000002080000}"/>
            </a:ext>
          </a:extLst>
        </xdr:cNvPr>
        <xdr:cNvPicPr>
          <a:picLocks/>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3583008" y="75558"/>
          <a:ext cx="360000" cy="360000"/>
        </a:xfrm>
        <a:prstGeom prst="rect">
          <a:avLst/>
        </a:prstGeom>
      </xdr:spPr>
    </xdr:pic>
    <xdr:clientData/>
  </xdr:twoCellAnchor>
  <xdr:oneCellAnchor>
    <xdr:from>
      <xdr:col>14</xdr:col>
      <xdr:colOff>9525</xdr:colOff>
      <xdr:row>2</xdr:row>
      <xdr:rowOff>0</xdr:rowOff>
    </xdr:from>
    <xdr:ext cx="839653" cy="328808"/>
    <xdr:sp macro="" textlink="Analysis!A6">
      <xdr:nvSpPr>
        <xdr:cNvPr id="41" name="TextBox 40">
          <a:extLst>
            <a:ext uri="{FF2B5EF4-FFF2-40B4-BE49-F238E27FC236}">
              <a16:creationId xmlns:a16="http://schemas.microsoft.com/office/drawing/2014/main" id="{00000000-0008-0000-0000-000029000000}"/>
            </a:ext>
          </a:extLst>
        </xdr:cNvPr>
        <xdr:cNvSpPr txBox="1"/>
      </xdr:nvSpPr>
      <xdr:spPr>
        <a:xfrm>
          <a:off x="8543925" y="361950"/>
          <a:ext cx="839653" cy="32880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2FE79453-7DEC-42F0-97C0-548401E0D499}" type="TxLink">
            <a:rPr lang="en-US" sz="1200" b="1" i="0" u="none" strike="noStrike">
              <a:solidFill>
                <a:schemeClr val="accent4"/>
              </a:solidFill>
              <a:effectLst/>
              <a:latin typeface="Lucida Sans Unicode" panose="020B0602030504020204" pitchFamily="34" charset="0"/>
              <a:ea typeface="+mn-ea"/>
              <a:cs typeface="Lucida Sans Unicode" panose="020B0602030504020204" pitchFamily="34" charset="0"/>
            </a:rPr>
            <a:pPr marL="0" indent="0"/>
            <a:t>Everyday</a:t>
          </a:fld>
          <a:endParaRPr lang="pt-PT" sz="1200" b="1" i="0" u="none" strike="noStrike">
            <a:solidFill>
              <a:schemeClr val="accent4"/>
            </a:solidFill>
            <a:effectLst/>
            <a:latin typeface="Lucida Sans Unicode" panose="020B0602030504020204" pitchFamily="34" charset="0"/>
            <a:ea typeface="+mn-ea"/>
            <a:cs typeface="Lucida Sans Unicode" panose="020B0602030504020204" pitchFamily="34" charset="0"/>
          </a:endParaRPr>
        </a:p>
      </xdr:txBody>
    </xdr:sp>
    <xdr:clientData/>
  </xdr:oneCellAnchor>
  <xdr:oneCellAnchor>
    <xdr:from>
      <xdr:col>17</xdr:col>
      <xdr:colOff>333375</xdr:colOff>
      <xdr:row>2</xdr:row>
      <xdr:rowOff>0</xdr:rowOff>
    </xdr:from>
    <xdr:ext cx="916533" cy="328808"/>
    <xdr:sp macro="" textlink="Analysis!A10">
      <xdr:nvSpPr>
        <xdr:cNvPr id="42" name="TextBox 41">
          <a:extLst>
            <a:ext uri="{FF2B5EF4-FFF2-40B4-BE49-F238E27FC236}">
              <a16:creationId xmlns:a16="http://schemas.microsoft.com/office/drawing/2014/main" id="{00000000-0008-0000-0000-00002A000000}"/>
            </a:ext>
          </a:extLst>
        </xdr:cNvPr>
        <xdr:cNvSpPr txBox="1"/>
      </xdr:nvSpPr>
      <xdr:spPr>
        <a:xfrm>
          <a:off x="10696575" y="361950"/>
          <a:ext cx="916533" cy="32880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B5DFFCAE-753B-470D-8408-DD3E86C1CD30}" type="TxLink">
            <a:rPr lang="en-US" sz="1200" b="1" i="0" u="none" strike="noStrike">
              <a:solidFill>
                <a:schemeClr val="accent4"/>
              </a:solidFill>
              <a:effectLst/>
              <a:latin typeface="Lucida Sans Unicode" panose="020B0602030504020204" pitchFamily="34" charset="0"/>
              <a:ea typeface="+mn-ea"/>
              <a:cs typeface="Lucida Sans Unicode" panose="020B0602030504020204" pitchFamily="34" charset="0"/>
            </a:rPr>
            <a:pPr marL="0" indent="0"/>
            <a:t>Transport</a:t>
          </a:fld>
          <a:endParaRPr lang="pt-PT" sz="1200" b="1" i="0" u="none" strike="noStrike">
            <a:solidFill>
              <a:schemeClr val="accent4"/>
            </a:solidFill>
            <a:effectLst/>
            <a:latin typeface="Lucida Sans Unicode" panose="020B0602030504020204" pitchFamily="34" charset="0"/>
            <a:ea typeface="+mn-ea"/>
            <a:cs typeface="Lucida Sans Unicode" panose="020B0602030504020204" pitchFamily="34" charset="0"/>
          </a:endParaRPr>
        </a:p>
      </xdr:txBody>
    </xdr:sp>
    <xdr:clientData/>
  </xdr:oneCellAnchor>
  <xdr:oneCellAnchor>
    <xdr:from>
      <xdr:col>21</xdr:col>
      <xdr:colOff>9525</xdr:colOff>
      <xdr:row>2</xdr:row>
      <xdr:rowOff>0</xdr:rowOff>
    </xdr:from>
    <xdr:ext cx="666529" cy="328808"/>
    <xdr:sp macro="" textlink="Analysis!A7">
      <xdr:nvSpPr>
        <xdr:cNvPr id="43" name="TextBox 42">
          <a:extLst>
            <a:ext uri="{FF2B5EF4-FFF2-40B4-BE49-F238E27FC236}">
              <a16:creationId xmlns:a16="http://schemas.microsoft.com/office/drawing/2014/main" id="{00000000-0008-0000-0000-00002B000000}"/>
            </a:ext>
          </a:extLst>
        </xdr:cNvPr>
        <xdr:cNvSpPr txBox="1"/>
      </xdr:nvSpPr>
      <xdr:spPr>
        <a:xfrm>
          <a:off x="12811125" y="361950"/>
          <a:ext cx="666529" cy="32880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7C812C0C-6279-40CA-A6C0-7640A293D5D0}" type="TxLink">
            <a:rPr lang="en-US" sz="1200" b="1" i="0" u="none" strike="noStrike">
              <a:solidFill>
                <a:schemeClr val="accent4"/>
              </a:solidFill>
              <a:effectLst/>
              <a:latin typeface="Lucida Sans Unicode" panose="020B0602030504020204" pitchFamily="34" charset="0"/>
              <a:ea typeface="+mn-ea"/>
              <a:cs typeface="Lucida Sans Unicode" panose="020B0602030504020204" pitchFamily="34" charset="0"/>
            </a:rPr>
            <a:pPr marL="0" indent="0"/>
            <a:t>Health</a:t>
          </a:fld>
          <a:endParaRPr lang="pt-PT" sz="1200" b="1" i="0" u="none" strike="noStrike">
            <a:solidFill>
              <a:schemeClr val="accent4"/>
            </a:solidFill>
            <a:effectLst/>
            <a:latin typeface="Lucida Sans Unicode" panose="020B0602030504020204" pitchFamily="34" charset="0"/>
            <a:ea typeface="+mn-ea"/>
            <a:cs typeface="Lucida Sans Unicode" panose="020B0602030504020204" pitchFamily="34" charset="0"/>
          </a:endParaRPr>
        </a:p>
      </xdr:txBody>
    </xdr:sp>
    <xdr:clientData/>
  </xdr:oneCellAnchor>
  <xdr:oneCellAnchor>
    <xdr:from>
      <xdr:col>12</xdr:col>
      <xdr:colOff>342900</xdr:colOff>
      <xdr:row>2</xdr:row>
      <xdr:rowOff>0</xdr:rowOff>
    </xdr:from>
    <xdr:ext cx="621965" cy="328808"/>
    <xdr:sp macro="" textlink="Analysis!A8">
      <xdr:nvSpPr>
        <xdr:cNvPr id="44" name="TextBox 43">
          <a:extLst>
            <a:ext uri="{FF2B5EF4-FFF2-40B4-BE49-F238E27FC236}">
              <a16:creationId xmlns:a16="http://schemas.microsoft.com/office/drawing/2014/main" id="{00000000-0008-0000-0000-00002C000000}"/>
            </a:ext>
          </a:extLst>
        </xdr:cNvPr>
        <xdr:cNvSpPr txBox="1"/>
      </xdr:nvSpPr>
      <xdr:spPr>
        <a:xfrm>
          <a:off x="7658100" y="361950"/>
          <a:ext cx="621965" cy="32880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FED4A0B3-1FDA-423E-A144-F92D9587859E}" type="TxLink">
            <a:rPr lang="en-US" sz="1200" b="1" i="0" u="none" strike="noStrike">
              <a:solidFill>
                <a:schemeClr val="accent4"/>
              </a:solidFill>
              <a:effectLst/>
              <a:latin typeface="Lucida Sans Unicode" panose="020B0602030504020204" pitchFamily="34" charset="0"/>
              <a:ea typeface="+mn-ea"/>
              <a:cs typeface="Lucida Sans Unicode" panose="020B0602030504020204" pitchFamily="34" charset="0"/>
            </a:rPr>
            <a:pPr marL="0" indent="0"/>
            <a:t>Home</a:t>
          </a:fld>
          <a:endParaRPr lang="pt-PT" sz="1200" b="1" i="0" u="none" strike="noStrike">
            <a:solidFill>
              <a:schemeClr val="accent4"/>
            </a:solidFill>
            <a:effectLst/>
            <a:latin typeface="Lucida Sans Unicode" panose="020B0602030504020204" pitchFamily="34" charset="0"/>
            <a:ea typeface="+mn-ea"/>
            <a:cs typeface="Lucida Sans Unicode" panose="020B0602030504020204" pitchFamily="34" charset="0"/>
          </a:endParaRPr>
        </a:p>
      </xdr:txBody>
    </xdr:sp>
    <xdr:clientData/>
  </xdr:oneCellAnchor>
  <xdr:oneCellAnchor>
    <xdr:from>
      <xdr:col>19</xdr:col>
      <xdr:colOff>228600</xdr:colOff>
      <xdr:row>2</xdr:row>
      <xdr:rowOff>0</xdr:rowOff>
    </xdr:from>
    <xdr:ext cx="749244" cy="328808"/>
    <xdr:sp macro="" textlink="Analysis!A12">
      <xdr:nvSpPr>
        <xdr:cNvPr id="45" name="TextBox 44">
          <a:extLst>
            <a:ext uri="{FF2B5EF4-FFF2-40B4-BE49-F238E27FC236}">
              <a16:creationId xmlns:a16="http://schemas.microsoft.com/office/drawing/2014/main" id="{00000000-0008-0000-0000-00002D000000}"/>
            </a:ext>
          </a:extLst>
        </xdr:cNvPr>
        <xdr:cNvSpPr txBox="1"/>
      </xdr:nvSpPr>
      <xdr:spPr>
        <a:xfrm>
          <a:off x="11811000" y="361950"/>
          <a:ext cx="749244" cy="32880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D05DB4F6-A16F-4044-A95D-EAABBA0F37ED}" type="TxLink">
            <a:rPr lang="en-US" sz="1200" b="1" i="0" u="none" strike="noStrike">
              <a:solidFill>
                <a:schemeClr val="accent4"/>
              </a:solidFill>
              <a:effectLst/>
              <a:latin typeface="Lucida Sans Unicode" panose="020B0602030504020204" pitchFamily="34" charset="0"/>
              <a:ea typeface="+mn-ea"/>
              <a:cs typeface="Lucida Sans Unicode" panose="020B0602030504020204" pitchFamily="34" charset="0"/>
            </a:rPr>
            <a:pPr marL="0" indent="0"/>
            <a:t>Utilities</a:t>
          </a:fld>
          <a:endParaRPr lang="pt-PT" sz="1200" b="1" i="0" u="none" strike="noStrike">
            <a:solidFill>
              <a:schemeClr val="accent4"/>
            </a:solidFill>
            <a:effectLst/>
            <a:latin typeface="Lucida Sans Unicode" panose="020B0602030504020204" pitchFamily="34" charset="0"/>
            <a:ea typeface="+mn-ea"/>
            <a:cs typeface="Lucida Sans Unicode" panose="020B0602030504020204" pitchFamily="34" charset="0"/>
          </a:endParaRPr>
        </a:p>
      </xdr:txBody>
    </xdr:sp>
    <xdr:clientData/>
  </xdr:oneCellAnchor>
  <xdr:oneCellAnchor>
    <xdr:from>
      <xdr:col>22</xdr:col>
      <xdr:colOff>476250</xdr:colOff>
      <xdr:row>2</xdr:row>
      <xdr:rowOff>0</xdr:rowOff>
    </xdr:from>
    <xdr:ext cx="563937" cy="328808"/>
    <xdr:sp macro="" textlink="Analysis!A13">
      <xdr:nvSpPr>
        <xdr:cNvPr id="46" name="TextBox 45">
          <a:extLst>
            <a:ext uri="{FF2B5EF4-FFF2-40B4-BE49-F238E27FC236}">
              <a16:creationId xmlns:a16="http://schemas.microsoft.com/office/drawing/2014/main" id="{00000000-0008-0000-0000-00002E000000}"/>
            </a:ext>
          </a:extLst>
        </xdr:cNvPr>
        <xdr:cNvSpPr txBox="1"/>
      </xdr:nvSpPr>
      <xdr:spPr>
        <a:xfrm>
          <a:off x="13887450" y="361950"/>
          <a:ext cx="563937" cy="32880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424EA648-9314-48BE-B198-6D1D9C3C3780}" type="TxLink">
            <a:rPr lang="en-US" sz="1200" b="1" i="0" u="none" strike="noStrike">
              <a:solidFill>
                <a:schemeClr val="accent4"/>
              </a:solidFill>
              <a:effectLst/>
              <a:latin typeface="Lucida Sans Unicode" panose="020B0602030504020204" pitchFamily="34" charset="0"/>
              <a:ea typeface="+mn-ea"/>
              <a:cs typeface="Lucida Sans Unicode" panose="020B0602030504020204" pitchFamily="34" charset="0"/>
            </a:rPr>
            <a:pPr marL="0" indent="0"/>
            <a:t>Total</a:t>
          </a:fld>
          <a:endParaRPr lang="pt-PT" sz="1200" b="1" i="0" u="none" strike="noStrike">
            <a:solidFill>
              <a:schemeClr val="accent4"/>
            </a:solidFill>
            <a:effectLst/>
            <a:latin typeface="Lucida Sans Unicode" panose="020B0602030504020204" pitchFamily="34" charset="0"/>
            <a:ea typeface="+mn-ea"/>
            <a:cs typeface="Lucida Sans Unicode" panose="020B0602030504020204" pitchFamily="34" charset="0"/>
          </a:endParaRPr>
        </a:p>
      </xdr:txBody>
    </xdr:sp>
    <xdr:clientData/>
  </xdr:oneCellAnchor>
  <xdr:oneCellAnchor>
    <xdr:from>
      <xdr:col>12</xdr:col>
      <xdr:colOff>316217</xdr:colOff>
      <xdr:row>0</xdr:row>
      <xdr:rowOff>90487</xdr:rowOff>
    </xdr:from>
    <xdr:ext cx="980205" cy="368242"/>
    <xdr:sp macro="" textlink="Analysis!B8">
      <xdr:nvSpPr>
        <xdr:cNvPr id="47" name="TextBox 46">
          <a:extLst>
            <a:ext uri="{FF2B5EF4-FFF2-40B4-BE49-F238E27FC236}">
              <a16:creationId xmlns:a16="http://schemas.microsoft.com/office/drawing/2014/main" id="{00000000-0008-0000-0000-00002F000000}"/>
            </a:ext>
          </a:extLst>
        </xdr:cNvPr>
        <xdr:cNvSpPr txBox="1"/>
      </xdr:nvSpPr>
      <xdr:spPr>
        <a:xfrm>
          <a:off x="7631417" y="90487"/>
          <a:ext cx="980205" cy="36824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marL="0" indent="0" algn="ctr"/>
          <a:fld id="{24E47780-694E-4676-A8AA-D1E86038CCDE}" type="TxLink">
            <a:rPr lang="en-US" sz="1400" b="1" i="0" u="none" strike="noStrike">
              <a:solidFill>
                <a:schemeClr val="accent4"/>
              </a:solidFill>
              <a:latin typeface="Lucida Sans Unicode" panose="020B0602030504020204" pitchFamily="34" charset="0"/>
              <a:ea typeface="+mn-ea"/>
              <a:cs typeface="Lucida Sans Unicode" panose="020B0602030504020204" pitchFamily="34" charset="0"/>
            </a:rPr>
            <a:pPr marL="0" indent="0" algn="ctr"/>
            <a:t> 2 295 € </a:t>
          </a:fld>
          <a:endParaRPr lang="pt-PT" sz="1400" b="1" i="0" u="none" strike="noStrike">
            <a:solidFill>
              <a:schemeClr val="accent4"/>
            </a:solidFill>
            <a:latin typeface="Lucida Sans Unicode" panose="020B0602030504020204" pitchFamily="34" charset="0"/>
            <a:ea typeface="+mn-ea"/>
            <a:cs typeface="Lucida Sans Unicode" panose="020B0602030504020204" pitchFamily="34" charset="0"/>
          </a:endParaRPr>
        </a:p>
      </xdr:txBody>
    </xdr:sp>
    <xdr:clientData/>
  </xdr:oneCellAnchor>
  <xdr:oneCellAnchor>
    <xdr:from>
      <xdr:col>14</xdr:col>
      <xdr:colOff>240381</xdr:colOff>
      <xdr:row>0</xdr:row>
      <xdr:rowOff>90487</xdr:rowOff>
    </xdr:from>
    <xdr:ext cx="809709" cy="368242"/>
    <xdr:sp macro="" textlink="Analysis!B6">
      <xdr:nvSpPr>
        <xdr:cNvPr id="48" name="TextBox 47">
          <a:extLst>
            <a:ext uri="{FF2B5EF4-FFF2-40B4-BE49-F238E27FC236}">
              <a16:creationId xmlns:a16="http://schemas.microsoft.com/office/drawing/2014/main" id="{00000000-0008-0000-0000-000030000000}"/>
            </a:ext>
          </a:extLst>
        </xdr:cNvPr>
        <xdr:cNvSpPr txBox="1"/>
      </xdr:nvSpPr>
      <xdr:spPr>
        <a:xfrm>
          <a:off x="8774781" y="90487"/>
          <a:ext cx="809709" cy="36824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marL="0" indent="0" algn="ctr"/>
          <a:fld id="{9B1801AB-4EE5-4C1E-9587-61B4318EB1BF}" type="TxLink">
            <a:rPr lang="en-US" sz="1400" b="1" i="0" u="none" strike="noStrike">
              <a:solidFill>
                <a:schemeClr val="accent4"/>
              </a:solidFill>
              <a:latin typeface="Lucida Sans Unicode" panose="020B0602030504020204" pitchFamily="34" charset="0"/>
              <a:ea typeface="+mn-ea"/>
              <a:cs typeface="Lucida Sans Unicode" panose="020B0602030504020204" pitchFamily="34" charset="0"/>
            </a:rPr>
            <a:pPr marL="0" indent="0" algn="ctr"/>
            <a:t> 545 € </a:t>
          </a:fld>
          <a:endParaRPr lang="pt-PT" sz="1400" b="1" i="0" u="none" strike="noStrike">
            <a:solidFill>
              <a:schemeClr val="accent4"/>
            </a:solidFill>
            <a:latin typeface="Lucida Sans Unicode" panose="020B0602030504020204" pitchFamily="34" charset="0"/>
            <a:ea typeface="+mn-ea"/>
            <a:cs typeface="Lucida Sans Unicode" panose="020B0602030504020204" pitchFamily="34" charset="0"/>
          </a:endParaRPr>
        </a:p>
      </xdr:txBody>
    </xdr:sp>
    <xdr:clientData/>
  </xdr:oneCellAnchor>
  <xdr:oneCellAnchor>
    <xdr:from>
      <xdr:col>16</xdr:col>
      <xdr:colOff>136924</xdr:colOff>
      <xdr:row>0</xdr:row>
      <xdr:rowOff>90487</xdr:rowOff>
    </xdr:from>
    <xdr:ext cx="809709" cy="368242"/>
    <xdr:sp macro="" textlink="Analysis!B5">
      <xdr:nvSpPr>
        <xdr:cNvPr id="49" name="TextBox 48">
          <a:extLst>
            <a:ext uri="{FF2B5EF4-FFF2-40B4-BE49-F238E27FC236}">
              <a16:creationId xmlns:a16="http://schemas.microsoft.com/office/drawing/2014/main" id="{00000000-0008-0000-0000-000031000000}"/>
            </a:ext>
          </a:extLst>
        </xdr:cNvPr>
        <xdr:cNvSpPr txBox="1"/>
      </xdr:nvSpPr>
      <xdr:spPr>
        <a:xfrm>
          <a:off x="9890524" y="90487"/>
          <a:ext cx="809709" cy="36824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marL="0" indent="0" algn="ctr"/>
          <a:fld id="{D6F140FD-C0BD-4802-9C3C-6F2270E1238C}" type="TxLink">
            <a:rPr lang="en-US" sz="1400" b="1" i="0" u="none" strike="noStrike">
              <a:solidFill>
                <a:schemeClr val="accent4"/>
              </a:solidFill>
              <a:latin typeface="Lucida Sans Unicode" panose="020B0602030504020204" pitchFamily="34" charset="0"/>
              <a:ea typeface="+mn-ea"/>
              <a:cs typeface="Lucida Sans Unicode" panose="020B0602030504020204" pitchFamily="34" charset="0"/>
            </a:rPr>
            <a:pPr marL="0" indent="0" algn="ctr"/>
            <a:t> 885 € </a:t>
          </a:fld>
          <a:endParaRPr lang="pt-PT" sz="1400" b="1" i="0" u="none" strike="noStrike">
            <a:solidFill>
              <a:schemeClr val="accent4"/>
            </a:solidFill>
            <a:latin typeface="Lucida Sans Unicode" panose="020B0602030504020204" pitchFamily="34" charset="0"/>
            <a:ea typeface="+mn-ea"/>
            <a:cs typeface="Lucida Sans Unicode" panose="020B0602030504020204" pitchFamily="34" charset="0"/>
          </a:endParaRPr>
        </a:p>
      </xdr:txBody>
    </xdr:sp>
    <xdr:clientData/>
  </xdr:oneCellAnchor>
  <xdr:oneCellAnchor>
    <xdr:from>
      <xdr:col>17</xdr:col>
      <xdr:colOff>604967</xdr:colOff>
      <xdr:row>0</xdr:row>
      <xdr:rowOff>90487</xdr:rowOff>
    </xdr:from>
    <xdr:ext cx="809709" cy="368242"/>
    <xdr:sp macro="" textlink="Analysis!B10">
      <xdr:nvSpPr>
        <xdr:cNvPr id="50" name="TextBox 49">
          <a:extLst>
            <a:ext uri="{FF2B5EF4-FFF2-40B4-BE49-F238E27FC236}">
              <a16:creationId xmlns:a16="http://schemas.microsoft.com/office/drawing/2014/main" id="{00000000-0008-0000-0000-000032000000}"/>
            </a:ext>
          </a:extLst>
        </xdr:cNvPr>
        <xdr:cNvSpPr txBox="1"/>
      </xdr:nvSpPr>
      <xdr:spPr>
        <a:xfrm>
          <a:off x="10968167" y="90487"/>
          <a:ext cx="809709" cy="36824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marL="0" indent="0" algn="ctr"/>
          <a:fld id="{5478799B-9729-4113-816E-17EF6E1D961D}" type="TxLink">
            <a:rPr lang="en-US" sz="1400" b="1" i="0" u="none" strike="noStrike">
              <a:solidFill>
                <a:schemeClr val="accent4"/>
              </a:solidFill>
              <a:latin typeface="Lucida Sans Unicode" panose="020B0602030504020204" pitchFamily="34" charset="0"/>
              <a:ea typeface="+mn-ea"/>
              <a:cs typeface="Lucida Sans Unicode" panose="020B0602030504020204" pitchFamily="34" charset="0"/>
            </a:rPr>
            <a:pPr marL="0" indent="0" algn="ctr"/>
            <a:t> 125 € </a:t>
          </a:fld>
          <a:endParaRPr lang="pt-PT" sz="1400" b="1" i="0" u="none" strike="noStrike">
            <a:solidFill>
              <a:schemeClr val="accent4"/>
            </a:solidFill>
            <a:latin typeface="Lucida Sans Unicode" panose="020B0602030504020204" pitchFamily="34" charset="0"/>
            <a:ea typeface="+mn-ea"/>
            <a:cs typeface="Lucida Sans Unicode" panose="020B0602030504020204" pitchFamily="34" charset="0"/>
          </a:endParaRPr>
        </a:p>
      </xdr:txBody>
    </xdr:sp>
    <xdr:clientData/>
  </xdr:oneCellAnchor>
  <xdr:oneCellAnchor>
    <xdr:from>
      <xdr:col>19</xdr:col>
      <xdr:colOff>387210</xdr:colOff>
      <xdr:row>0</xdr:row>
      <xdr:rowOff>90487</xdr:rowOff>
    </xdr:from>
    <xdr:ext cx="696088" cy="368242"/>
    <xdr:sp macro="" textlink="Analysis!B12">
      <xdr:nvSpPr>
        <xdr:cNvPr id="51" name="TextBox 50">
          <a:extLst>
            <a:ext uri="{FF2B5EF4-FFF2-40B4-BE49-F238E27FC236}">
              <a16:creationId xmlns:a16="http://schemas.microsoft.com/office/drawing/2014/main" id="{00000000-0008-0000-0000-000033000000}"/>
            </a:ext>
          </a:extLst>
        </xdr:cNvPr>
        <xdr:cNvSpPr txBox="1"/>
      </xdr:nvSpPr>
      <xdr:spPr>
        <a:xfrm>
          <a:off x="11969610" y="90487"/>
          <a:ext cx="696088" cy="36824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marL="0" indent="0" algn="ctr"/>
          <a:fld id="{6B113DA7-013C-4E5C-967B-A08A5E498667}" type="TxLink">
            <a:rPr lang="en-US" sz="1400" b="1" i="0" u="none" strike="noStrike">
              <a:solidFill>
                <a:schemeClr val="accent4"/>
              </a:solidFill>
              <a:latin typeface="Lucida Sans Unicode" panose="020B0602030504020204" pitchFamily="34" charset="0"/>
              <a:ea typeface="+mn-ea"/>
              <a:cs typeface="Lucida Sans Unicode" panose="020B0602030504020204" pitchFamily="34" charset="0"/>
            </a:rPr>
            <a:pPr marL="0" indent="0" algn="ctr"/>
            <a:t> 64 € </a:t>
          </a:fld>
          <a:endParaRPr lang="pt-PT" sz="1400" b="1" i="0" u="none" strike="noStrike">
            <a:solidFill>
              <a:schemeClr val="accent4"/>
            </a:solidFill>
            <a:latin typeface="Lucida Sans Unicode" panose="020B0602030504020204" pitchFamily="34" charset="0"/>
            <a:ea typeface="+mn-ea"/>
            <a:cs typeface="Lucida Sans Unicode" panose="020B0602030504020204" pitchFamily="34" charset="0"/>
          </a:endParaRPr>
        </a:p>
      </xdr:txBody>
    </xdr:sp>
    <xdr:clientData/>
  </xdr:oneCellAnchor>
  <xdr:oneCellAnchor>
    <xdr:from>
      <xdr:col>21</xdr:col>
      <xdr:colOff>55832</xdr:colOff>
      <xdr:row>0</xdr:row>
      <xdr:rowOff>90487</xdr:rowOff>
    </xdr:from>
    <xdr:ext cx="809709" cy="368242"/>
    <xdr:sp macro="" textlink="Analysis!B7">
      <xdr:nvSpPr>
        <xdr:cNvPr id="52" name="TextBox 51">
          <a:extLst>
            <a:ext uri="{FF2B5EF4-FFF2-40B4-BE49-F238E27FC236}">
              <a16:creationId xmlns:a16="http://schemas.microsoft.com/office/drawing/2014/main" id="{00000000-0008-0000-0000-000034000000}"/>
            </a:ext>
          </a:extLst>
        </xdr:cNvPr>
        <xdr:cNvSpPr txBox="1"/>
      </xdr:nvSpPr>
      <xdr:spPr>
        <a:xfrm>
          <a:off x="12857432" y="90487"/>
          <a:ext cx="809709" cy="36824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marL="0" indent="0" algn="ctr"/>
          <a:fld id="{6017F7B0-B223-4442-8281-40A5FD1EF4DA}" type="TxLink">
            <a:rPr lang="en-US" sz="1400" b="1" i="0" u="none" strike="noStrike">
              <a:solidFill>
                <a:schemeClr val="accent4"/>
              </a:solidFill>
              <a:latin typeface="Lucida Sans Unicode" panose="020B0602030504020204" pitchFamily="34" charset="0"/>
              <a:ea typeface="+mn-ea"/>
              <a:cs typeface="Lucida Sans Unicode" panose="020B0602030504020204" pitchFamily="34" charset="0"/>
            </a:rPr>
            <a:pPr marL="0" indent="0" algn="ctr"/>
            <a:t> 103 € </a:t>
          </a:fld>
          <a:endParaRPr lang="pt-PT" sz="1400" b="1" i="0" u="none" strike="noStrike">
            <a:solidFill>
              <a:schemeClr val="accent4"/>
            </a:solidFill>
            <a:latin typeface="Lucida Sans Unicode" panose="020B0602030504020204" pitchFamily="34" charset="0"/>
            <a:ea typeface="+mn-ea"/>
            <a:cs typeface="Lucida Sans Unicode" panose="020B0602030504020204" pitchFamily="34" charset="0"/>
          </a:endParaRPr>
        </a:p>
      </xdr:txBody>
    </xdr:sp>
    <xdr:clientData/>
  </xdr:oneCellAnchor>
  <xdr:twoCellAnchor>
    <xdr:from>
      <xdr:col>0</xdr:col>
      <xdr:colOff>114300</xdr:colOff>
      <xdr:row>3</xdr:row>
      <xdr:rowOff>161925</xdr:rowOff>
    </xdr:from>
    <xdr:to>
      <xdr:col>7</xdr:col>
      <xdr:colOff>419100</xdr:colOff>
      <xdr:row>25</xdr:row>
      <xdr:rowOff>28575</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14300" y="704850"/>
          <a:ext cx="4572000" cy="3848100"/>
        </a:xfrm>
        <a:prstGeom prst="roundRect">
          <a:avLst>
            <a:gd name="adj" fmla="val 2975"/>
          </a:avLst>
        </a:prstGeom>
        <a:gradFill flip="none" rotWithShape="1">
          <a:gsLst>
            <a:gs pos="100000">
              <a:schemeClr val="accent2">
                <a:lumMod val="72000"/>
                <a:lumOff val="28000"/>
              </a:schemeClr>
            </a:gs>
            <a:gs pos="88000">
              <a:schemeClr val="accent6"/>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oneCellAnchor>
    <xdr:from>
      <xdr:col>22</xdr:col>
      <xdr:colOff>447675</xdr:colOff>
      <xdr:row>0</xdr:row>
      <xdr:rowOff>90487</xdr:rowOff>
    </xdr:from>
    <xdr:ext cx="980205" cy="368242"/>
    <xdr:sp macro="" textlink="Analysis!B13">
      <xdr:nvSpPr>
        <xdr:cNvPr id="53" name="TextBox 52">
          <a:extLst>
            <a:ext uri="{FF2B5EF4-FFF2-40B4-BE49-F238E27FC236}">
              <a16:creationId xmlns:a16="http://schemas.microsoft.com/office/drawing/2014/main" id="{00000000-0008-0000-0000-000035000000}"/>
            </a:ext>
          </a:extLst>
        </xdr:cNvPr>
        <xdr:cNvSpPr txBox="1"/>
      </xdr:nvSpPr>
      <xdr:spPr>
        <a:xfrm>
          <a:off x="13858875" y="90487"/>
          <a:ext cx="980205" cy="36824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marL="0" indent="0" algn="ctr"/>
          <a:fld id="{45E82B66-20BA-4644-8DF1-3B76A3858933}" type="TxLink">
            <a:rPr lang="en-US" sz="1400" b="1" i="0" u="none" strike="noStrike">
              <a:solidFill>
                <a:schemeClr val="accent4"/>
              </a:solidFill>
              <a:latin typeface="Lucida Sans Unicode" panose="020B0602030504020204" pitchFamily="34" charset="0"/>
              <a:ea typeface="+mn-ea"/>
              <a:cs typeface="Lucida Sans Unicode" panose="020B0602030504020204" pitchFamily="34" charset="0"/>
            </a:rPr>
            <a:pPr marL="0" indent="0" algn="ctr"/>
            <a:t> 4 584 € </a:t>
          </a:fld>
          <a:endParaRPr lang="pt-PT" sz="1400" b="1" i="0" u="none" strike="noStrike">
            <a:solidFill>
              <a:schemeClr val="accent4"/>
            </a:solidFill>
            <a:latin typeface="Lucida Sans Unicode" panose="020B0602030504020204" pitchFamily="34" charset="0"/>
            <a:ea typeface="+mn-ea"/>
            <a:cs typeface="Lucida Sans Unicode" panose="020B0602030504020204" pitchFamily="34" charset="0"/>
          </a:endParaRPr>
        </a:p>
      </xdr:txBody>
    </xdr:sp>
    <xdr:clientData/>
  </xdr:oneCellAnchor>
  <xdr:twoCellAnchor>
    <xdr:from>
      <xdr:col>0</xdr:col>
      <xdr:colOff>114300</xdr:colOff>
      <xdr:row>13</xdr:row>
      <xdr:rowOff>9525</xdr:rowOff>
    </xdr:from>
    <xdr:to>
      <xdr:col>7</xdr:col>
      <xdr:colOff>409575</xdr:colOff>
      <xdr:row>25</xdr:row>
      <xdr:rowOff>114300</xdr:rowOff>
    </xdr:to>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104775</xdr:colOff>
      <xdr:row>3</xdr:row>
      <xdr:rowOff>95250</xdr:rowOff>
    </xdr:from>
    <xdr:to>
      <xdr:col>7</xdr:col>
      <xdr:colOff>409575</xdr:colOff>
      <xdr:row>14</xdr:row>
      <xdr:rowOff>123825</xdr:rowOff>
    </xdr:to>
    <xdr:graphicFrame macro="">
      <xdr:nvGraphicFramePr>
        <xdr:cNvPr id="24" name="Chart 23">
          <a:extLst>
            <a:ext uri="{FF2B5EF4-FFF2-40B4-BE49-F238E27FC236}">
              <a16:creationId xmlns:a16="http://schemas.microsoft.com/office/drawing/2014/main" id="{00000000-0008-0000-00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114300</xdr:colOff>
      <xdr:row>25</xdr:row>
      <xdr:rowOff>76200</xdr:rowOff>
    </xdr:from>
    <xdr:to>
      <xdr:col>7</xdr:col>
      <xdr:colOff>419100</xdr:colOff>
      <xdr:row>40</xdr:row>
      <xdr:rowOff>104775</xdr:rowOff>
    </xdr:to>
    <xdr:graphicFrame macro="">
      <xdr:nvGraphicFramePr>
        <xdr:cNvPr id="27" name="Chart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400050</xdr:colOff>
      <xdr:row>3</xdr:row>
      <xdr:rowOff>95251</xdr:rowOff>
    </xdr:from>
    <xdr:to>
      <xdr:col>24</xdr:col>
      <xdr:colOff>152400</xdr:colOff>
      <xdr:row>24</xdr:row>
      <xdr:rowOff>171450</xdr:rowOff>
    </xdr:to>
    <mc:AlternateContent xmlns:mc="http://schemas.openxmlformats.org/markup-compatibility/2006">
      <mc:Choice xmlns:cx1="http://schemas.microsoft.com/office/drawing/2015/9/8/chartex" Requires="cx1">
        <xdr:graphicFrame macro="">
          <xdr:nvGraphicFramePr>
            <xdr:cNvPr id="29" name="Chart 28">
              <a:extLst>
                <a:ext uri="{FF2B5EF4-FFF2-40B4-BE49-F238E27FC236}">
                  <a16:creationId xmlns:a16="http://schemas.microsoft.com/office/drawing/2014/main" id="{00000000-0008-0000-0000-00001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7915275" y="638176"/>
              <a:ext cx="7677150" cy="3876674"/>
            </a:xfrm>
            <a:prstGeom prst="rect">
              <a:avLst/>
            </a:prstGeom>
            <a:solidFill>
              <a:prstClr val="white"/>
            </a:solidFill>
            <a:ln w="1">
              <a:solidFill>
                <a:prstClr val="green"/>
              </a:solidFill>
            </a:ln>
          </xdr:spPr>
          <xdr:txBody>
            <a:bodyPr vertOverflow="clip" horzOverflow="clip"/>
            <a:lstStyle/>
            <a:p>
              <a:r>
                <a:rPr lang="pt-PT"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390525</xdr:colOff>
      <xdr:row>25</xdr:row>
      <xdr:rowOff>66675</xdr:rowOff>
    </xdr:from>
    <xdr:to>
      <xdr:col>24</xdr:col>
      <xdr:colOff>152400</xdr:colOff>
      <xdr:row>40</xdr:row>
      <xdr:rowOff>76200</xdr:rowOff>
    </xdr:to>
    <xdr:sp macro="" textlink="">
      <xdr:nvSpPr>
        <xdr:cNvPr id="33" name="Rectangle: Rounded Corners 32">
          <a:extLst>
            <a:ext uri="{FF2B5EF4-FFF2-40B4-BE49-F238E27FC236}">
              <a16:creationId xmlns:a16="http://schemas.microsoft.com/office/drawing/2014/main" id="{00000000-0008-0000-0000-000021000000}"/>
            </a:ext>
          </a:extLst>
        </xdr:cNvPr>
        <xdr:cNvSpPr/>
      </xdr:nvSpPr>
      <xdr:spPr>
        <a:xfrm>
          <a:off x="7096125" y="4591050"/>
          <a:ext cx="7686675" cy="2724150"/>
        </a:xfrm>
        <a:prstGeom prst="roundRect">
          <a:avLst>
            <a:gd name="adj" fmla="val 2975"/>
          </a:avLst>
        </a:prstGeom>
        <a:gradFill>
          <a:gsLst>
            <a:gs pos="100000">
              <a:schemeClr val="accent2">
                <a:lumMod val="72000"/>
                <a:lumOff val="28000"/>
              </a:schemeClr>
            </a:gs>
            <a:gs pos="54000">
              <a:schemeClr val="accent6"/>
            </a:gs>
          </a:gsLst>
          <a:lin ang="189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11</xdr:col>
      <xdr:colOff>428625</xdr:colOff>
      <xdr:row>25</xdr:row>
      <xdr:rowOff>66675</xdr:rowOff>
    </xdr:from>
    <xdr:to>
      <xdr:col>24</xdr:col>
      <xdr:colOff>85725</xdr:colOff>
      <xdr:row>40</xdr:row>
      <xdr:rowOff>95250</xdr:rowOff>
    </xdr:to>
    <mc:AlternateContent xmlns:mc="http://schemas.openxmlformats.org/markup-compatibility/2006">
      <mc:Choice xmlns:cx4="http://schemas.microsoft.com/office/drawing/2016/5/10/chartex" Requires="cx4">
        <xdr:graphicFrame macro="">
          <xdr:nvGraphicFramePr>
            <xdr:cNvPr id="34" name="Chart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7943850" y="4591050"/>
              <a:ext cx="7581900" cy="2743200"/>
            </a:xfrm>
            <a:prstGeom prst="rect">
              <a:avLst/>
            </a:prstGeom>
            <a:solidFill>
              <a:prstClr val="white"/>
            </a:solidFill>
            <a:ln w="1">
              <a:solidFill>
                <a:prstClr val="green"/>
              </a:solidFill>
            </a:ln>
          </xdr:spPr>
          <xdr:txBody>
            <a:bodyPr vertOverflow="clip" horzOverflow="clip"/>
            <a:lstStyle/>
            <a:p>
              <a:r>
                <a:rPr lang="pt-PT"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7</xdr:col>
      <xdr:colOff>476250</xdr:colOff>
      <xdr:row>25</xdr:row>
      <xdr:rowOff>28575</xdr:rowOff>
    </xdr:from>
    <xdr:ext cx="2838406" cy="328808"/>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743450" y="4552950"/>
          <a:ext cx="2838406"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200" b="1">
              <a:solidFill>
                <a:schemeClr val="accent6"/>
              </a:solidFill>
              <a:latin typeface="Lucida Sans Unicode" panose="020B0602030504020204" pitchFamily="34" charset="0"/>
              <a:cs typeface="Lucida Sans Unicode" panose="020B0602030504020204" pitchFamily="34" charset="0"/>
            </a:rPr>
            <a:t>Top 5 Categories in Selected Period</a:t>
          </a:r>
        </a:p>
      </xdr:txBody>
    </xdr:sp>
    <xdr:clientData/>
  </xdr:oneCellAnchor>
  <xdr:twoCellAnchor>
    <xdr:from>
      <xdr:col>7</xdr:col>
      <xdr:colOff>552450</xdr:colOff>
      <xdr:row>26</xdr:row>
      <xdr:rowOff>123825</xdr:rowOff>
    </xdr:from>
    <xdr:to>
      <xdr:col>11</xdr:col>
      <xdr:colOff>238125</xdr:colOff>
      <xdr:row>26</xdr:row>
      <xdr:rowOff>123825</xdr:rowOff>
    </xdr:to>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a:off x="4819650" y="4829175"/>
          <a:ext cx="2695575" cy="0"/>
        </a:xfrm>
        <a:prstGeom prst="line">
          <a:avLst/>
        </a:prstGeom>
        <a:ln w="254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952500</xdr:colOff>
      <xdr:row>13</xdr:row>
      <xdr:rowOff>171450</xdr:rowOff>
    </xdr:from>
    <xdr:to>
      <xdr:col>11</xdr:col>
      <xdr:colOff>348826</xdr:colOff>
      <xdr:row>25</xdr:row>
      <xdr:rowOff>28575</xdr:rowOff>
    </xdr:to>
    <mc:AlternateContent xmlns:mc="http://schemas.openxmlformats.org/markup-compatibility/2006" xmlns:a14="http://schemas.microsoft.com/office/drawing/2010/main">
      <mc:Choice Requires="a14">
        <xdr:graphicFrame macro="">
          <xdr:nvGraphicFramePr>
            <xdr:cNvPr id="57" name="Category">
              <a:extLst>
                <a:ext uri="{FF2B5EF4-FFF2-40B4-BE49-F238E27FC236}">
                  <a16:creationId xmlns:a16="http://schemas.microsoft.com/office/drawing/2014/main" id="{00000000-0008-0000-0000-00003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5829300" y="2524125"/>
              <a:ext cx="2034751" cy="2028825"/>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428624</xdr:colOff>
      <xdr:row>3</xdr:row>
      <xdr:rowOff>0</xdr:rowOff>
    </xdr:from>
    <xdr:to>
      <xdr:col>11</xdr:col>
      <xdr:colOff>504824</xdr:colOff>
      <xdr:row>13</xdr:row>
      <xdr:rowOff>114300</xdr:rowOff>
    </xdr:to>
    <xdr:graphicFrame macro="">
      <xdr:nvGraphicFramePr>
        <xdr:cNvPr id="58" name="Chart 57">
          <a:extLst>
            <a:ext uri="{FF2B5EF4-FFF2-40B4-BE49-F238E27FC236}">
              <a16:creationId xmlns:a16="http://schemas.microsoft.com/office/drawing/2014/main" id="{00000000-0008-0000-0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oneCellAnchor>
    <xdr:from>
      <xdr:col>11</xdr:col>
      <xdr:colOff>390524</xdr:colOff>
      <xdr:row>25</xdr:row>
      <xdr:rowOff>47625</xdr:rowOff>
    </xdr:from>
    <xdr:ext cx="3752851" cy="328808"/>
    <xdr:sp macro="" textlink="Analysis!AA9">
      <xdr:nvSpPr>
        <xdr:cNvPr id="5" name="TextBox 4">
          <a:extLst>
            <a:ext uri="{FF2B5EF4-FFF2-40B4-BE49-F238E27FC236}">
              <a16:creationId xmlns:a16="http://schemas.microsoft.com/office/drawing/2014/main" id="{00000000-0008-0000-0000-000005000000}"/>
            </a:ext>
          </a:extLst>
        </xdr:cNvPr>
        <xdr:cNvSpPr txBox="1"/>
      </xdr:nvSpPr>
      <xdr:spPr>
        <a:xfrm>
          <a:off x="7905749" y="4572000"/>
          <a:ext cx="3752851"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E7685C9-B813-4F08-A3DB-CEA09FA269CD}" type="TxLink">
            <a:rPr lang="en-US" sz="1200" b="1" i="0" u="none" strike="noStrike">
              <a:solidFill>
                <a:schemeClr val="accent4"/>
              </a:solidFill>
              <a:latin typeface="Lucida Sans Unicode" panose="020B0602030504020204" pitchFamily="34" charset="0"/>
              <a:cs typeface="Lucida Sans Unicode" panose="020B0602030504020204" pitchFamily="34" charset="0"/>
            </a:rPr>
            <a:pPr/>
            <a:t>Expenses by Category - YTD</a:t>
          </a:fld>
          <a:endParaRPr lang="pt-PT" sz="1200" b="1">
            <a:solidFill>
              <a:schemeClr val="accent4"/>
            </a:solidFill>
            <a:latin typeface="Lucida Sans Unicode" panose="020B0602030504020204" pitchFamily="34" charset="0"/>
            <a:cs typeface="Lucida Sans Unicode" panose="020B0602030504020204" pitchFamily="34" charset="0"/>
          </a:endParaRPr>
        </a:p>
      </xdr:txBody>
    </xdr:sp>
    <xdr:clientData/>
  </xdr:oneCellAnchor>
  <xdr:twoCellAnchor editAs="oneCell">
    <xdr:from>
      <xdr:col>7</xdr:col>
      <xdr:colOff>457201</xdr:colOff>
      <xdr:row>13</xdr:row>
      <xdr:rowOff>171450</xdr:rowOff>
    </xdr:from>
    <xdr:to>
      <xdr:col>8</xdr:col>
      <xdr:colOff>923925</xdr:colOff>
      <xdr:row>25</xdr:row>
      <xdr:rowOff>9525</xdr:rowOff>
    </xdr:to>
    <mc:AlternateContent xmlns:mc="http://schemas.openxmlformats.org/markup-compatibility/2006" xmlns:a14="http://schemas.microsoft.com/office/drawing/2010/main">
      <mc:Choice Requires="a14">
        <xdr:graphicFrame macro="">
          <xdr:nvGraphicFramePr>
            <xdr:cNvPr id="54" name="Months">
              <a:extLst>
                <a:ext uri="{FF2B5EF4-FFF2-40B4-BE49-F238E27FC236}">
                  <a16:creationId xmlns:a16="http://schemas.microsoft.com/office/drawing/2014/main" id="{00000000-0008-0000-0000-000036000000}"/>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4724401" y="2524125"/>
              <a:ext cx="1076324" cy="2009775"/>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11</xdr:col>
      <xdr:colOff>380998</xdr:colOff>
      <xdr:row>3</xdr:row>
      <xdr:rowOff>133350</xdr:rowOff>
    </xdr:from>
    <xdr:ext cx="8096251" cy="328808"/>
    <xdr:sp macro="" textlink="Analysis!X17">
      <xdr:nvSpPr>
        <xdr:cNvPr id="55" name="TextBox 54">
          <a:extLst>
            <a:ext uri="{FF2B5EF4-FFF2-40B4-BE49-F238E27FC236}">
              <a16:creationId xmlns:a16="http://schemas.microsoft.com/office/drawing/2014/main" id="{00000000-0008-0000-0000-000037000000}"/>
            </a:ext>
          </a:extLst>
        </xdr:cNvPr>
        <xdr:cNvSpPr txBox="1"/>
      </xdr:nvSpPr>
      <xdr:spPr>
        <a:xfrm>
          <a:off x="7896223" y="676275"/>
          <a:ext cx="8096251"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5FA0B868-084D-4487-93C1-7B0E79F3A34D}" type="TxLink">
            <a:rPr lang="en-US" sz="1200" b="1" i="0" u="none" strike="noStrike">
              <a:solidFill>
                <a:schemeClr val="accent4"/>
              </a:solidFill>
              <a:latin typeface="Lucida Sans Unicode" panose="020B0602030504020204" pitchFamily="34" charset="0"/>
              <a:cs typeface="Lucida Sans Unicode" panose="020B0602030504020204" pitchFamily="34" charset="0"/>
            </a:rPr>
            <a:pPr/>
            <a:t>All Expenses - YTD</a:t>
          </a:fld>
          <a:endParaRPr lang="pt-PT" sz="1600" b="1">
            <a:solidFill>
              <a:schemeClr val="accent4"/>
            </a:solidFill>
            <a:latin typeface="Lucida Sans Unicode" panose="020B0602030504020204" pitchFamily="34" charset="0"/>
            <a:cs typeface="Lucida Sans Unicode" panose="020B0602030504020204" pitchFamily="34" charset="0"/>
          </a:endParaRPr>
        </a:p>
      </xdr:txBody>
    </xdr:sp>
    <xdr:clientData/>
  </xdr:oneCellAnchor>
  <xdr:oneCellAnchor>
    <xdr:from>
      <xdr:col>7</xdr:col>
      <xdr:colOff>424879</xdr:colOff>
      <xdr:row>32</xdr:row>
      <xdr:rowOff>70083</xdr:rowOff>
    </xdr:from>
    <xdr:ext cx="3185095" cy="1892569"/>
    <xdr:sp macro="" textlink="">
      <xdr:nvSpPr>
        <xdr:cNvPr id="6" name="Rectangle 5">
          <a:extLst>
            <a:ext uri="{FF2B5EF4-FFF2-40B4-BE49-F238E27FC236}">
              <a16:creationId xmlns:a16="http://schemas.microsoft.com/office/drawing/2014/main" id="{00000000-0008-0000-0000-000006000000}"/>
            </a:ext>
          </a:extLst>
        </xdr:cNvPr>
        <xdr:cNvSpPr/>
      </xdr:nvSpPr>
      <xdr:spPr>
        <a:xfrm>
          <a:off x="4692079" y="5861283"/>
          <a:ext cx="3185095" cy="1892569"/>
        </a:xfrm>
        <a:prstGeom prst="rect">
          <a:avLst/>
        </a:prstGeom>
        <a:noFill/>
      </xdr:spPr>
      <xdr:txBody>
        <a:bodyPr wrap="square" lIns="91440" tIns="45720" rIns="91440" bIns="45720">
          <a:spAutoFit/>
          <a:scene3d>
            <a:camera prst="orthographicFront"/>
            <a:lightRig rig="harsh" dir="t"/>
          </a:scene3d>
          <a:sp3d prstMaterial="matte">
            <a:contourClr>
              <a:schemeClr val="bg1">
                <a:lumMod val="65000"/>
              </a:schemeClr>
            </a:contourClr>
          </a:sp3d>
        </a:bodyPr>
        <a:lstStyle/>
        <a:p>
          <a:pPr algn="ctr"/>
          <a:r>
            <a:rPr lang="en-US" sz="11500" b="1" cap="none" spc="0">
              <a:ln w="57150">
                <a:solidFill>
                  <a:schemeClr val="accent6"/>
                </a:solidFill>
              </a:ln>
              <a:solidFill>
                <a:schemeClr val="accent4"/>
              </a:solidFill>
              <a:effectLst/>
            </a:rPr>
            <a:t>2022</a:t>
          </a:r>
          <a:endParaRPr lang="en-US" sz="5400" b="1" cap="none" spc="0">
            <a:ln w="57150">
              <a:solidFill>
                <a:schemeClr val="accent6"/>
              </a:solidFill>
            </a:ln>
            <a:solidFill>
              <a:schemeClr val="accent4"/>
            </a:solidFill>
            <a:effectLst/>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0.51862</cdr:x>
      <cdr:y>0.42079</cdr:y>
    </cdr:from>
    <cdr:to>
      <cdr:x>0.7937</cdr:x>
      <cdr:y>0.89604</cdr:y>
    </cdr:to>
    <cdr:sp macro="" textlink="Analysis!$AG$2">
      <cdr:nvSpPr>
        <cdr:cNvPr id="2" name="TextBox 1">
          <a:extLst xmlns:a="http://schemas.openxmlformats.org/drawingml/2006/main">
            <a:ext uri="{FF2B5EF4-FFF2-40B4-BE49-F238E27FC236}">
              <a16:creationId xmlns:a16="http://schemas.microsoft.com/office/drawing/2014/main" id="{6A18D87A-37D1-4F40-81CB-048D794AF86D}"/>
            </a:ext>
          </a:extLst>
        </cdr:cNvPr>
        <cdr:cNvSpPr txBox="1"/>
      </cdr:nvSpPr>
      <cdr:spPr>
        <a:xfrm xmlns:a="http://schemas.openxmlformats.org/drawingml/2006/main">
          <a:off x="1724026" y="809625"/>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26BD44C9-3A58-43E4-8F9D-4438B9C8EF43}" type="TxLink">
            <a:rPr lang="en-US" sz="1100" b="0" i="0" u="none" strike="noStrike">
              <a:solidFill>
                <a:schemeClr val="accent4"/>
              </a:solidFill>
              <a:effectLst>
                <a:glow rad="63500">
                  <a:schemeClr val="tx1">
                    <a:alpha val="40000"/>
                  </a:schemeClr>
                </a:glow>
              </a:effectLst>
              <a:latin typeface="Lucida Sans Unicode" panose="020B0602030504020204" pitchFamily="34" charset="0"/>
              <a:cs typeface="Lucida Sans Unicode" panose="020B0602030504020204" pitchFamily="34" charset="0"/>
            </a:rPr>
            <a:pPr/>
            <a:t> 1 444 € </a:t>
          </a:fld>
          <a:endParaRPr lang="pt-PT" sz="1100" b="0">
            <a:solidFill>
              <a:schemeClr val="accent4"/>
            </a:solidFill>
            <a:effectLst>
              <a:glow rad="63500">
                <a:schemeClr val="tx1">
                  <a:alpha val="40000"/>
                </a:schemeClr>
              </a:glow>
            </a:effectLst>
            <a:latin typeface="Lucida Sans Unicode" panose="020B0602030504020204" pitchFamily="34" charset="0"/>
            <a:cs typeface="Lucida Sans Unicode" panose="020B0602030504020204"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606425</xdr:colOff>
          <xdr:row>79</xdr:row>
          <xdr:rowOff>12700</xdr:rowOff>
        </xdr:from>
        <xdr:to>
          <xdr:col>10</xdr:col>
          <xdr:colOff>15875</xdr:colOff>
          <xdr:row>80</xdr:row>
          <xdr:rowOff>184150</xdr:rowOff>
        </xdr:to>
        <xdr:sp macro="" textlink="">
          <xdr:nvSpPr>
            <xdr:cNvPr id="2050" name="newTransaction"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606425</xdr:colOff>
          <xdr:row>81</xdr:row>
          <xdr:rowOff>12700</xdr:rowOff>
        </xdr:from>
        <xdr:to>
          <xdr:col>10</xdr:col>
          <xdr:colOff>330200</xdr:colOff>
          <xdr:row>82</xdr:row>
          <xdr:rowOff>184150</xdr:rowOff>
        </xdr:to>
        <xdr:sp macro="" textlink="">
          <xdr:nvSpPr>
            <xdr:cNvPr id="2051" name="removeTransaction" hidden="1">
              <a:extLst>
                <a:ext uri="{63B3BB69-23CF-44E3-9099-C40C66FF867C}">
                  <a14:compatExt spid="_x0000_s2051"/>
                </a:ext>
                <a:ext uri="{FF2B5EF4-FFF2-40B4-BE49-F238E27FC236}">
                  <a16:creationId xmlns:a16="http://schemas.microsoft.com/office/drawing/2014/main" id="{FB245086-2E87-06D1-9563-AC52B6D2BC8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0.479534027778" createdVersion="6" refreshedVersion="8" minRefreshableVersion="3" recordCount="110" xr:uid="{B15A439C-CC16-4B97-999B-5C441A3609BD}">
  <cacheSource type="worksheet">
    <worksheetSource name="TableTransactions"/>
  </cacheSource>
  <cacheFields count="8">
    <cacheField name="Date" numFmtId="14">
      <sharedItems containsSemiMixedTypes="0" containsNonDate="0" containsDate="1" containsString="0" minDate="2022-06-03T00:00:00" maxDate="2022-10-17T00:00:00" count="55">
        <d v="2022-06-03T00:00:00"/>
        <d v="2022-06-06T00:00:00"/>
        <d v="2022-06-10T00:00:00"/>
        <d v="2022-06-11T00:00:00"/>
        <d v="2022-06-13T00:00:00"/>
        <d v="2022-06-16T00:00:00"/>
        <d v="2022-06-17T00:00:00"/>
        <d v="2022-06-18T00:00:00"/>
        <d v="2022-06-20T00:00:00"/>
        <d v="2022-06-21T00:00:00"/>
        <d v="2022-06-22T00:00:00"/>
        <d v="2022-06-24T00:00:00"/>
        <d v="2022-07-01T00:00:00"/>
        <d v="2022-07-03T00:00:00"/>
        <d v="2022-07-04T00:00:00"/>
        <d v="2022-07-06T00:00:00"/>
        <d v="2022-07-07T00:00:00"/>
        <d v="2022-07-08T00:00:00"/>
        <d v="2022-07-17T00:00:00"/>
        <d v="2022-07-18T00:00:00"/>
        <d v="2022-07-21T00:00:00"/>
        <d v="2022-07-22T00:00:00"/>
        <d v="2022-07-26T00:00:00"/>
        <d v="2022-07-29T00:00:00"/>
        <d v="2022-08-02T00:00:00"/>
        <d v="2022-08-09T00:00:00"/>
        <d v="2022-08-10T00:00:00"/>
        <d v="2022-08-17T00:00:00"/>
        <d v="2022-08-18T00:00:00"/>
        <d v="2022-08-23T00:00:00"/>
        <d v="2022-08-24T00:00:00"/>
        <d v="2022-08-25T00:00:00"/>
        <d v="2022-08-27T00:00:00"/>
        <d v="2022-09-02T00:00:00"/>
        <d v="2022-09-03T00:00:00"/>
        <d v="2022-09-05T00:00:00"/>
        <d v="2022-09-06T00:00:00"/>
        <d v="2022-09-08T00:00:00"/>
        <d v="2022-09-10T00:00:00"/>
        <d v="2022-09-14T00:00:00"/>
        <d v="2022-09-16T00:00:00"/>
        <d v="2022-09-17T00:00:00"/>
        <d v="2022-09-20T00:00:00"/>
        <d v="2022-09-22T00:00:00"/>
        <d v="2022-09-27T00:00:00"/>
        <d v="2022-09-28T00:00:00"/>
        <d v="2022-09-30T00:00:00"/>
        <d v="2022-10-01T00:00:00"/>
        <d v="2022-10-03T00:00:00"/>
        <d v="2022-10-04T00:00:00"/>
        <d v="2022-10-05T00:00:00"/>
        <d v="2022-10-07T00:00:00"/>
        <d v="2022-10-08T00:00:00"/>
        <d v="2022-10-09T00:00:00"/>
        <d v="2022-10-16T00:00:00"/>
      </sharedItems>
      <fieldGroup par="7" base="0">
        <rangePr groupBy="days" startDate="2022-06-03T00:00:00" endDate="2022-10-17T00:00:00"/>
        <groupItems count="368">
          <s v="&lt;03/06/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17/10/2022"/>
        </groupItems>
      </fieldGroup>
    </cacheField>
    <cacheField name="Description" numFmtId="0">
      <sharedItems/>
    </cacheField>
    <cacheField name="Amount" numFmtId="166">
      <sharedItems containsSemiMixedTypes="0" containsString="0" containsNumber="1" minValue="0.01" maxValue="902.6"/>
    </cacheField>
    <cacheField name="D/C" numFmtId="166">
      <sharedItems containsSemiMixedTypes="0" containsString="0" containsNumber="1" minValue="-902.6" maxValue="20"/>
    </cacheField>
    <cacheField name="Category Type" numFmtId="0">
      <sharedItems containsBlank="1" count="3">
        <s v="Expense"/>
        <s v="Income"/>
        <m u="1"/>
      </sharedItems>
    </cacheField>
    <cacheField name="Category" numFmtId="0">
      <sharedItems containsBlank="1" count="11">
        <s v="Transport"/>
        <s v="Everyday"/>
        <s v="Other"/>
        <s v="Utilities"/>
        <s v="Travel"/>
        <s v="Entertainment"/>
        <s v="Home"/>
        <s v="Health"/>
        <s v="Education"/>
        <m u="1"/>
        <s v="Wages" u="1"/>
      </sharedItems>
    </cacheField>
    <cacheField name="Sub-Category" numFmtId="0">
      <sharedItems containsBlank="1" count="21">
        <s v="Public Transit"/>
        <s v="Car Taxes"/>
        <s v="Groceries"/>
        <s v="Withdrawal"/>
        <s v="Phone"/>
        <s v="Restaurants"/>
        <s v="Food"/>
        <s v="Games"/>
        <s v="Appliances"/>
        <s v="Supplements"/>
        <s v="Rent"/>
        <s v="Loans"/>
        <s v="Buy MKM"/>
        <s v="Payments"/>
        <s v="Fuel"/>
        <s v="Tolls"/>
        <s v="Gambling"/>
        <s v="Tuition"/>
        <s v="Tobacco"/>
        <m u="1"/>
        <s v="Paycheck" u="1"/>
      </sharedItems>
    </cacheField>
    <cacheField name="Months" numFmtId="0" databaseField="0">
      <fieldGroup base="0">
        <rangePr groupBy="months" startDate="2022-06-03T00:00:00" endDate="2022-10-17T00:00:00"/>
        <groupItems count="14">
          <s v="&lt;03/06/2022"/>
          <s v="jan"/>
          <s v="fev"/>
          <s v="mar"/>
          <s v="abr"/>
          <s v="mai"/>
          <s v="jun"/>
          <s v="jul"/>
          <s v="ago"/>
          <s v="set"/>
          <s v="out"/>
          <s v="nov"/>
          <s v="dez"/>
          <s v="&gt;17/10/2022"/>
        </groupItems>
      </fieldGroup>
    </cacheField>
  </cacheFields>
  <extLst>
    <ext xmlns:x14="http://schemas.microsoft.com/office/spreadsheetml/2009/9/main" uri="{725AE2AE-9491-48be-B2B4-4EB974FC3084}">
      <x14:pivotCacheDefinition pivotCacheId="10960077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
  <r>
    <x v="0"/>
    <s v="Bolt"/>
    <n v="8.1"/>
    <n v="-8.1"/>
    <x v="0"/>
    <x v="0"/>
    <x v="0"/>
  </r>
  <r>
    <x v="0"/>
    <s v="Bolt"/>
    <n v="7.3"/>
    <n v="-7.3"/>
    <x v="0"/>
    <x v="0"/>
    <x v="0"/>
  </r>
  <r>
    <x v="1"/>
    <s v="Selo Carro"/>
    <n v="58.52"/>
    <n v="-58.52"/>
    <x v="0"/>
    <x v="0"/>
    <x v="1"/>
  </r>
  <r>
    <x v="2"/>
    <s v="Groceries"/>
    <n v="138.74"/>
    <n v="-138.74"/>
    <x v="0"/>
    <x v="1"/>
    <x v="2"/>
  </r>
  <r>
    <x v="3"/>
    <s v="Levantamento"/>
    <n v="50"/>
    <n v="-50"/>
    <x v="0"/>
    <x v="2"/>
    <x v="3"/>
  </r>
  <r>
    <x v="3"/>
    <s v="Telemovel"/>
    <n v="22.7"/>
    <n v="-22.7"/>
    <x v="0"/>
    <x v="3"/>
    <x v="4"/>
  </r>
  <r>
    <x v="4"/>
    <s v="Jantar c Pedro e Rita - Malta"/>
    <n v="68.8"/>
    <n v="-68.8"/>
    <x v="0"/>
    <x v="1"/>
    <x v="5"/>
  </r>
  <r>
    <x v="5"/>
    <s v="Levantamento"/>
    <n v="50"/>
    <n v="-50"/>
    <x v="0"/>
    <x v="2"/>
    <x v="3"/>
  </r>
  <r>
    <x v="5"/>
    <s v="Almoço c Pai e Zita"/>
    <n v="46.7"/>
    <n v="-46.7"/>
    <x v="0"/>
    <x v="1"/>
    <x v="5"/>
  </r>
  <r>
    <x v="6"/>
    <s v="Comer no Aeroporto"/>
    <n v="13.1"/>
    <n v="-13.1"/>
    <x v="0"/>
    <x v="4"/>
    <x v="6"/>
  </r>
  <r>
    <x v="6"/>
    <s v="Bolt"/>
    <n v="15.2"/>
    <n v="-15.2"/>
    <x v="0"/>
    <x v="0"/>
    <x v="0"/>
  </r>
  <r>
    <x v="6"/>
    <s v="Amazon Prime"/>
    <n v="3.99"/>
    <n v="-3.99"/>
    <x v="0"/>
    <x v="5"/>
    <x v="7"/>
  </r>
  <r>
    <x v="6"/>
    <s v="Refeição c MTG ppz"/>
    <n v="12.5"/>
    <n v="-12.5"/>
    <x v="0"/>
    <x v="1"/>
    <x v="5"/>
  </r>
  <r>
    <x v="6"/>
    <s v="Birras c MTG ppz"/>
    <n v="8"/>
    <n v="-8"/>
    <x v="0"/>
    <x v="1"/>
    <x v="5"/>
  </r>
  <r>
    <x v="6"/>
    <s v="Birras c MTG ppz"/>
    <n v="6"/>
    <n v="-6"/>
    <x v="0"/>
    <x v="1"/>
    <x v="5"/>
  </r>
  <r>
    <x v="6"/>
    <s v="Groceries"/>
    <n v="60"/>
    <n v="-60"/>
    <x v="0"/>
    <x v="1"/>
    <x v="2"/>
  </r>
  <r>
    <x v="7"/>
    <s v="Balança e Batedeira"/>
    <n v="229.11"/>
    <n v="-229.11"/>
    <x v="0"/>
    <x v="6"/>
    <x v="8"/>
  </r>
  <r>
    <x v="8"/>
    <s v="Comer no Aviao"/>
    <n v="6"/>
    <n v="-6"/>
    <x v="0"/>
    <x v="4"/>
    <x v="6"/>
  </r>
  <r>
    <x v="8"/>
    <s v="Mensalidade WoW"/>
    <n v="35.97"/>
    <n v="-35.97"/>
    <x v="0"/>
    <x v="5"/>
    <x v="7"/>
  </r>
  <r>
    <x v="9"/>
    <s v="Despedida Solteiro basilio"/>
    <n v="35"/>
    <n v="-35"/>
    <x v="0"/>
    <x v="1"/>
    <x v="5"/>
  </r>
  <r>
    <x v="9"/>
    <s v="Prota + Manteiga de amendoim em po"/>
    <n v="102.98"/>
    <n v="-102.98"/>
    <x v="0"/>
    <x v="7"/>
    <x v="9"/>
  </r>
  <r>
    <x v="10"/>
    <s v="Groceries"/>
    <n v="5.98"/>
    <n v="-5.98"/>
    <x v="0"/>
    <x v="1"/>
    <x v="2"/>
  </r>
  <r>
    <x v="10"/>
    <s v="Levantamento"/>
    <n v="200"/>
    <n v="-200"/>
    <x v="0"/>
    <x v="2"/>
    <x v="3"/>
  </r>
  <r>
    <x v="11"/>
    <s v="Groceries"/>
    <n v="89.63"/>
    <n v="-89.63"/>
    <x v="0"/>
    <x v="1"/>
    <x v="2"/>
  </r>
  <r>
    <x v="12"/>
    <s v="Renda"/>
    <n v="902.6"/>
    <n v="-902.6"/>
    <x v="0"/>
    <x v="6"/>
    <x v="10"/>
  </r>
  <r>
    <x v="13"/>
    <s v="Renda"/>
    <n v="200"/>
    <n v="-200"/>
    <x v="0"/>
    <x v="6"/>
    <x v="10"/>
  </r>
  <r>
    <x v="14"/>
    <s v="Levantamento"/>
    <n v="20"/>
    <n v="-20"/>
    <x v="0"/>
    <x v="2"/>
    <x v="3"/>
  </r>
  <r>
    <x v="15"/>
    <s v="Bricolage"/>
    <n v="19.98"/>
    <n v="-19.98"/>
    <x v="0"/>
    <x v="6"/>
    <x v="8"/>
  </r>
  <r>
    <x v="16"/>
    <s v="PGSharp"/>
    <n v="4.8499999999999996"/>
    <n v="-4.8499999999999996"/>
    <x v="0"/>
    <x v="5"/>
    <x v="7"/>
  </r>
  <r>
    <x v="16"/>
    <s v="PGSharp"/>
    <n v="0.08"/>
    <n v="-0.08"/>
    <x v="0"/>
    <x v="5"/>
    <x v="7"/>
  </r>
  <r>
    <x v="16"/>
    <s v="PGSharp"/>
    <n v="0.05"/>
    <n v="-0.05"/>
    <x v="0"/>
    <x v="5"/>
    <x v="7"/>
  </r>
  <r>
    <x v="17"/>
    <s v="Telemovel"/>
    <n v="40.89"/>
    <n v="-40.89"/>
    <x v="0"/>
    <x v="3"/>
    <x v="4"/>
  </r>
  <r>
    <x v="18"/>
    <s v="Amazon Prime"/>
    <n v="3.99"/>
    <n v="-3.99"/>
    <x v="0"/>
    <x v="5"/>
    <x v="7"/>
  </r>
  <r>
    <x v="19"/>
    <s v="Renda"/>
    <n v="200"/>
    <n v="-200"/>
    <x v="0"/>
    <x v="6"/>
    <x v="8"/>
  </r>
  <r>
    <x v="20"/>
    <s v="Cabos usb/colunas mae/tabuleiros gelo/powerbank/jogo chaves/suporte telemovel"/>
    <n v="143.33000000000001"/>
    <n v="-143.33000000000001"/>
    <x v="0"/>
    <x v="6"/>
    <x v="8"/>
  </r>
  <r>
    <x v="21"/>
    <s v="Groceries"/>
    <n v="7.07"/>
    <n v="-7.07"/>
    <x v="0"/>
    <x v="1"/>
    <x v="2"/>
  </r>
  <r>
    <x v="22"/>
    <s v="Pokemon Home"/>
    <n v="2.99"/>
    <n v="-2.99"/>
    <x v="0"/>
    <x v="5"/>
    <x v="7"/>
  </r>
  <r>
    <x v="23"/>
    <s v="Groceries"/>
    <n v="17.600000000000001"/>
    <n v="-17.600000000000001"/>
    <x v="0"/>
    <x v="1"/>
    <x v="2"/>
  </r>
  <r>
    <x v="24"/>
    <s v="Manatraders"/>
    <n v="34.78"/>
    <n v="-34.78"/>
    <x v="0"/>
    <x v="5"/>
    <x v="7"/>
  </r>
  <r>
    <x v="24"/>
    <s v="Manatraders"/>
    <n v="0.59"/>
    <n v="-0.59"/>
    <x v="0"/>
    <x v="5"/>
    <x v="7"/>
  </r>
  <r>
    <x v="24"/>
    <s v="Manatraders"/>
    <n v="0.02"/>
    <n v="-0.02"/>
    <x v="0"/>
    <x v="5"/>
    <x v="7"/>
  </r>
  <r>
    <x v="24"/>
    <s v="Manatraders"/>
    <n v="0.35"/>
    <n v="-0.35"/>
    <x v="0"/>
    <x v="5"/>
    <x v="7"/>
  </r>
  <r>
    <x v="24"/>
    <s v="Manatraders"/>
    <n v="0.01"/>
    <n v="-0.01"/>
    <x v="0"/>
    <x v="5"/>
    <x v="7"/>
  </r>
  <r>
    <x v="24"/>
    <s v="Renda"/>
    <n v="200"/>
    <n v="-200"/>
    <x v="0"/>
    <x v="6"/>
    <x v="10"/>
  </r>
  <r>
    <x v="25"/>
    <s v="Emprestimo Vasco"/>
    <n v="20"/>
    <n v="-20"/>
    <x v="0"/>
    <x v="2"/>
    <x v="11"/>
  </r>
  <r>
    <x v="26"/>
    <s v="PGSharp"/>
    <n v="4.9800000000000004"/>
    <n v="-4.9800000000000004"/>
    <x v="0"/>
    <x v="5"/>
    <x v="7"/>
  </r>
  <r>
    <x v="26"/>
    <s v="PGSharp"/>
    <n v="0.08"/>
    <n v="-0.08"/>
    <x v="0"/>
    <x v="5"/>
    <x v="7"/>
  </r>
  <r>
    <x v="26"/>
    <s v="PGSharp"/>
    <n v="0.05"/>
    <n v="-0.05"/>
    <x v="0"/>
    <x v="5"/>
    <x v="7"/>
  </r>
  <r>
    <x v="27"/>
    <s v="Amazon Prime"/>
    <n v="3.99"/>
    <n v="-3.99"/>
    <x v="0"/>
    <x v="5"/>
    <x v="7"/>
  </r>
  <r>
    <x v="28"/>
    <s v="WoW Expansion - Dragonflight"/>
    <n v="89.99"/>
    <n v="-89.99"/>
    <x v="0"/>
    <x v="5"/>
    <x v="7"/>
  </r>
  <r>
    <x v="29"/>
    <s v="Emprestimo Vasco"/>
    <n v="10"/>
    <n v="-10"/>
    <x v="0"/>
    <x v="2"/>
    <x v="11"/>
  </r>
  <r>
    <x v="30"/>
    <s v="WoW Warlock Boost"/>
    <n v="60"/>
    <n v="-60"/>
    <x v="0"/>
    <x v="5"/>
    <x v="7"/>
  </r>
  <r>
    <x v="31"/>
    <s v="Emprestimo Vasco"/>
    <n v="10"/>
    <n v="-10"/>
    <x v="0"/>
    <x v="2"/>
    <x v="11"/>
  </r>
  <r>
    <x v="31"/>
    <s v="Levantamento"/>
    <n v="10"/>
    <n v="-10"/>
    <x v="0"/>
    <x v="2"/>
    <x v="3"/>
  </r>
  <r>
    <x v="32"/>
    <s v="Levantamento"/>
    <n v="10"/>
    <n v="-10"/>
    <x v="0"/>
    <x v="2"/>
    <x v="3"/>
  </r>
  <r>
    <x v="33"/>
    <s v="MTG - Pre Release"/>
    <n v="26"/>
    <n v="-26"/>
    <x v="0"/>
    <x v="5"/>
    <x v="7"/>
  </r>
  <r>
    <x v="34"/>
    <s v="MTG - Pre Release"/>
    <n v="22"/>
    <n v="-22"/>
    <x v="0"/>
    <x v="5"/>
    <x v="7"/>
  </r>
  <r>
    <x v="34"/>
    <s v="Refeição c MTG ppz"/>
    <n v="10"/>
    <n v="-10"/>
    <x v="0"/>
    <x v="1"/>
    <x v="5"/>
  </r>
  <r>
    <x v="35"/>
    <s v="Renda"/>
    <n v="200"/>
    <n v="-200"/>
    <x v="0"/>
    <x v="6"/>
    <x v="10"/>
  </r>
  <r>
    <x v="35"/>
    <s v="Manatraders"/>
    <n v="35.49"/>
    <n v="-35.49"/>
    <x v="0"/>
    <x v="5"/>
    <x v="7"/>
  </r>
  <r>
    <x v="35"/>
    <s v="Manatraders"/>
    <n v="0.6"/>
    <n v="-0.6"/>
    <x v="0"/>
    <x v="5"/>
    <x v="7"/>
  </r>
  <r>
    <x v="35"/>
    <s v="Manatraders"/>
    <n v="0.02"/>
    <n v="-0.02"/>
    <x v="0"/>
    <x v="5"/>
    <x v="7"/>
  </r>
  <r>
    <x v="35"/>
    <s v="Manatraders"/>
    <n v="0.35"/>
    <n v="-0.35"/>
    <x v="0"/>
    <x v="5"/>
    <x v="7"/>
  </r>
  <r>
    <x v="35"/>
    <s v="Manatraders"/>
    <n v="0.01"/>
    <n v="-0.01"/>
    <x v="0"/>
    <x v="5"/>
    <x v="7"/>
  </r>
  <r>
    <x v="35"/>
    <s v="Emprestimo Nana - Bilhete Autocarro"/>
    <n v="20"/>
    <n v="-20"/>
    <x v="0"/>
    <x v="2"/>
    <x v="11"/>
  </r>
  <r>
    <x v="35"/>
    <s v="MTG - Cartas Pioneer"/>
    <n v="293.57"/>
    <n v="-293.57"/>
    <x v="0"/>
    <x v="5"/>
    <x v="12"/>
  </r>
  <r>
    <x v="35"/>
    <s v="MTGO Tix"/>
    <n v="47.5"/>
    <n v="-47.5"/>
    <x v="0"/>
    <x v="5"/>
    <x v="7"/>
  </r>
  <r>
    <x v="36"/>
    <s v="MTGO Tix"/>
    <n v="14.99"/>
    <n v="-14.99"/>
    <x v="0"/>
    <x v="5"/>
    <x v="7"/>
  </r>
  <r>
    <x v="36"/>
    <s v="MTGO Tix"/>
    <n v="0.25"/>
    <n v="-0.25"/>
    <x v="0"/>
    <x v="5"/>
    <x v="7"/>
  </r>
  <r>
    <x v="36"/>
    <s v="MTGO Tix"/>
    <n v="0.01"/>
    <n v="-0.01"/>
    <x v="0"/>
    <x v="5"/>
    <x v="7"/>
  </r>
  <r>
    <x v="36"/>
    <s v="MTGO Tix"/>
    <n v="0.15"/>
    <n v="-0.15"/>
    <x v="0"/>
    <x v="5"/>
    <x v="7"/>
  </r>
  <r>
    <x v="36"/>
    <s v="MTGO Tix"/>
    <n v="0.01"/>
    <n v="-0.01"/>
    <x v="0"/>
    <x v="5"/>
    <x v="7"/>
  </r>
  <r>
    <x v="37"/>
    <s v="MTG - Pre Release"/>
    <n v="19.2"/>
    <n v="-19.2"/>
    <x v="0"/>
    <x v="5"/>
    <x v="7"/>
  </r>
  <r>
    <x v="38"/>
    <s v="MTG - CFB Pro"/>
    <n v="5.07"/>
    <n v="-5.07"/>
    <x v="0"/>
    <x v="5"/>
    <x v="7"/>
  </r>
  <r>
    <x v="38"/>
    <s v="MTG - CFB Pro"/>
    <n v="0.09"/>
    <n v="-0.09"/>
    <x v="0"/>
    <x v="5"/>
    <x v="7"/>
  </r>
  <r>
    <x v="38"/>
    <s v="MTG - CFB Pro"/>
    <n v="0.05"/>
    <n v="-0.05"/>
    <x v="0"/>
    <x v="5"/>
    <x v="7"/>
  </r>
  <r>
    <x v="38"/>
    <s v="Devolução Vasco - Cartas Vendidas"/>
    <n v="5.4"/>
    <n v="-5.4"/>
    <x v="0"/>
    <x v="2"/>
    <x v="13"/>
  </r>
  <r>
    <x v="39"/>
    <s v="MTG - Torneio Pioneer"/>
    <n v="6"/>
    <n v="-6"/>
    <x v="0"/>
    <x v="5"/>
    <x v="7"/>
  </r>
  <r>
    <x v="40"/>
    <s v="Levantamento"/>
    <n v="20"/>
    <n v="-20"/>
    <x v="0"/>
    <x v="2"/>
    <x v="3"/>
  </r>
  <r>
    <x v="40"/>
    <s v="MTG - Torneio Pioneer"/>
    <n v="15"/>
    <n v="-15"/>
    <x v="0"/>
    <x v="5"/>
    <x v="7"/>
  </r>
  <r>
    <x v="41"/>
    <s v="Gasolina"/>
    <n v="34.9"/>
    <n v="-34.9"/>
    <x v="0"/>
    <x v="0"/>
    <x v="14"/>
  </r>
  <r>
    <x v="41"/>
    <s v="Amazon Prime"/>
    <n v="4.99"/>
    <n v="-4.99"/>
    <x v="0"/>
    <x v="5"/>
    <x v="7"/>
  </r>
  <r>
    <x v="41"/>
    <s v="Portagens - Torneio Pioneer"/>
    <n v="1.2"/>
    <n v="-1.2"/>
    <x v="0"/>
    <x v="0"/>
    <x v="15"/>
  </r>
  <r>
    <x v="41"/>
    <s v="Refeição c MTG ppz"/>
    <n v="7.5"/>
    <n v="-7.5"/>
    <x v="0"/>
    <x v="1"/>
    <x v="5"/>
  </r>
  <r>
    <x v="42"/>
    <s v="1xbet"/>
    <n v="50"/>
    <n v="-50"/>
    <x v="0"/>
    <x v="5"/>
    <x v="16"/>
  </r>
  <r>
    <x v="42"/>
    <s v="1xbet"/>
    <n v="0.5"/>
    <n v="-0.5"/>
    <x v="0"/>
    <x v="5"/>
    <x v="16"/>
  </r>
  <r>
    <x v="42"/>
    <s v="1xbet"/>
    <n v="0.02"/>
    <n v="-0.02"/>
    <x v="0"/>
    <x v="5"/>
    <x v="16"/>
  </r>
  <r>
    <x v="42"/>
    <s v="CTT - Envelopes"/>
    <n v="9.3699999999999992"/>
    <n v="-9.3699999999999992"/>
    <x v="0"/>
    <x v="5"/>
    <x v="12"/>
  </r>
  <r>
    <x v="42"/>
    <s v="CTT - Envio"/>
    <n v="3.84"/>
    <n v="-3.84"/>
    <x v="0"/>
    <x v="5"/>
    <x v="12"/>
  </r>
  <r>
    <x v="43"/>
    <s v="Refeição c MTG ppz"/>
    <n v="7.75"/>
    <n v="-7.75"/>
    <x v="0"/>
    <x v="1"/>
    <x v="5"/>
  </r>
  <r>
    <x v="43"/>
    <s v="Levantamento"/>
    <n v="10"/>
    <n v="-10"/>
    <x v="0"/>
    <x v="2"/>
    <x v="3"/>
  </r>
  <r>
    <x v="43"/>
    <s v="Groceries"/>
    <n v="9.9"/>
    <n v="-9.9"/>
    <x v="0"/>
    <x v="1"/>
    <x v="2"/>
  </r>
  <r>
    <x v="44"/>
    <s v="Devolução Vasco - Boosters Vendidos"/>
    <n v="50"/>
    <n v="-50"/>
    <x v="0"/>
    <x v="2"/>
    <x v="13"/>
  </r>
  <r>
    <x v="45"/>
    <s v="Coursera"/>
    <n v="38"/>
    <n v="-38"/>
    <x v="0"/>
    <x v="8"/>
    <x v="17"/>
  </r>
  <r>
    <x v="46"/>
    <s v="Tabaco"/>
    <n v="4.9000000000000004"/>
    <n v="-4.9000000000000004"/>
    <x v="0"/>
    <x v="2"/>
    <x v="18"/>
  </r>
  <r>
    <x v="46"/>
    <s v="Refeição c MTG ppz"/>
    <n v="1.4"/>
    <n v="-1.4"/>
    <x v="0"/>
    <x v="1"/>
    <x v="5"/>
  </r>
  <r>
    <x v="47"/>
    <s v="Rent"/>
    <n v="200"/>
    <n v="-200"/>
    <x v="0"/>
    <x v="6"/>
    <x v="10"/>
  </r>
  <r>
    <x v="48"/>
    <s v="Tabaco"/>
    <n v="5"/>
    <n v="-5"/>
    <x v="0"/>
    <x v="2"/>
    <x v="18"/>
  </r>
  <r>
    <x v="49"/>
    <s v="CTT Envio Correio Azul"/>
    <n v="0.74"/>
    <n v="-0.74"/>
    <x v="0"/>
    <x v="5"/>
    <x v="12"/>
  </r>
  <r>
    <x v="49"/>
    <s v="Café c Ivo e Vasco"/>
    <n v="3.09"/>
    <n v="-3.09"/>
    <x v="0"/>
    <x v="1"/>
    <x v="5"/>
  </r>
  <r>
    <x v="50"/>
    <s v="Tabaco"/>
    <n v="5"/>
    <n v="-5"/>
    <x v="0"/>
    <x v="2"/>
    <x v="18"/>
  </r>
  <r>
    <x v="50"/>
    <s v="MTG - Torneio Modern"/>
    <n v="11"/>
    <n v="-11"/>
    <x v="0"/>
    <x v="5"/>
    <x v="7"/>
  </r>
  <r>
    <x v="51"/>
    <s v="Pingo Doce - Ressacos"/>
    <n v="4.93"/>
    <n v="-4.93"/>
    <x v="0"/>
    <x v="1"/>
    <x v="2"/>
  </r>
  <r>
    <x v="51"/>
    <s v="CTT Envio Correio Internacional"/>
    <n v="0.94"/>
    <n v="-0.94"/>
    <x v="0"/>
    <x v="5"/>
    <x v="12"/>
  </r>
  <r>
    <x v="51"/>
    <s v="Pingo Doce - Jantar casa Pedro"/>
    <n v="4.8899999999999997"/>
    <n v="-4.8899999999999997"/>
    <x v="0"/>
    <x v="1"/>
    <x v="5"/>
  </r>
  <r>
    <x v="51"/>
    <s v="Tabaco"/>
    <n v="5"/>
    <n v="-5"/>
    <x v="0"/>
    <x v="2"/>
    <x v="18"/>
  </r>
  <r>
    <x v="51"/>
    <s v="Venda - Microfone Vasco"/>
    <n v="20"/>
    <n v="20"/>
    <x v="1"/>
    <x v="2"/>
    <x v="13"/>
  </r>
  <r>
    <x v="52"/>
    <s v="CTT - Desalfandegamento Compra JP"/>
    <n v="20.18"/>
    <n v="-20.18"/>
    <x v="0"/>
    <x v="5"/>
    <x v="12"/>
  </r>
  <r>
    <x v="53"/>
    <s v="1xbet"/>
    <n v="50"/>
    <n v="-50"/>
    <x v="0"/>
    <x v="5"/>
    <x v="16"/>
  </r>
  <r>
    <x v="54"/>
    <s v="Tabaco"/>
    <n v="5"/>
    <n v="-5"/>
    <x v="0"/>
    <x v="2"/>
    <x v="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F87EA4-0FB3-4BB8-81E4-59A29E4EC91C}" name="PTExpensesDetailed" cacheId="14" applyNumberFormats="0" applyBorderFormats="0" applyFontFormats="0" applyPatternFormats="0" applyAlignmentFormats="0" applyWidthHeightFormats="1" dataCaption="Values" grandTotalCaption="Total" updatedVersion="8" minRefreshableVersion="3" useAutoFormatting="1" itemPrintTitles="1" createdVersion="6" indent="0" outline="1" outlineData="1" multipleFieldFilters="0" rowHeaderCaption="Category" colHeaderCaption="Month">
  <location ref="A3:G33" firstHeaderRow="1" firstDataRow="2" firstDataCol="1" rowPageCount="1" colPageCount="1"/>
  <pivotFields count="8">
    <pivotField numFmtId="14" showAll="0"/>
    <pivotField showAll="0"/>
    <pivotField dataField="1" numFmtId="44" showAll="0"/>
    <pivotField numFmtId="44" showAll="0"/>
    <pivotField axis="axisPage" showAll="0">
      <items count="4">
        <item x="0"/>
        <item x="1"/>
        <item m="1" x="2"/>
        <item t="default"/>
      </items>
    </pivotField>
    <pivotField axis="axisRow" showAll="0">
      <items count="12">
        <item x="8"/>
        <item x="5"/>
        <item x="1"/>
        <item x="7"/>
        <item x="6"/>
        <item x="2"/>
        <item x="0"/>
        <item x="4"/>
        <item x="3"/>
        <item m="1" x="10"/>
        <item m="1" x="9"/>
        <item t="default"/>
      </items>
    </pivotField>
    <pivotField axis="axisRow" showAll="0">
      <items count="22">
        <item x="8"/>
        <item x="12"/>
        <item sd="0" x="1"/>
        <item x="6"/>
        <item sd="0" x="14"/>
        <item x="16"/>
        <item x="7"/>
        <item x="2"/>
        <item x="11"/>
        <item m="1" x="20"/>
        <item x="13"/>
        <item x="4"/>
        <item sd="0" x="0"/>
        <item x="10"/>
        <item x="5"/>
        <item x="9"/>
        <item x="18"/>
        <item sd="0" x="15"/>
        <item x="17"/>
        <item x="3"/>
        <item m="1" x="19"/>
        <item t="default"/>
      </items>
    </pivotField>
    <pivotField axis="axisCol" showAll="0" defaultSubtotal="0">
      <items count="14">
        <item x="0"/>
        <item x="1"/>
        <item x="2"/>
        <item x="3"/>
        <item x="4"/>
        <item x="5"/>
        <item x="6"/>
        <item x="7"/>
        <item x="8"/>
        <item x="9"/>
        <item x="10"/>
        <item x="11"/>
        <item x="12"/>
        <item x="13"/>
      </items>
    </pivotField>
  </pivotFields>
  <rowFields count="2">
    <field x="5"/>
    <field x="6"/>
  </rowFields>
  <rowItems count="29">
    <i>
      <x/>
    </i>
    <i r="1">
      <x v="18"/>
    </i>
    <i>
      <x v="1"/>
    </i>
    <i r="1">
      <x v="1"/>
    </i>
    <i r="1">
      <x v="5"/>
    </i>
    <i r="1">
      <x v="6"/>
    </i>
    <i>
      <x v="2"/>
    </i>
    <i r="1">
      <x v="7"/>
    </i>
    <i r="1">
      <x v="14"/>
    </i>
    <i>
      <x v="3"/>
    </i>
    <i r="1">
      <x v="15"/>
    </i>
    <i>
      <x v="4"/>
    </i>
    <i r="1">
      <x/>
    </i>
    <i r="1">
      <x v="13"/>
    </i>
    <i>
      <x v="5"/>
    </i>
    <i r="1">
      <x v="8"/>
    </i>
    <i r="1">
      <x v="10"/>
    </i>
    <i r="1">
      <x v="16"/>
    </i>
    <i r="1">
      <x v="19"/>
    </i>
    <i>
      <x v="6"/>
    </i>
    <i r="1">
      <x v="2"/>
    </i>
    <i r="1">
      <x v="4"/>
    </i>
    <i r="1">
      <x v="12"/>
    </i>
    <i r="1">
      <x v="17"/>
    </i>
    <i>
      <x v="7"/>
    </i>
    <i r="1">
      <x v="3"/>
    </i>
    <i>
      <x v="8"/>
    </i>
    <i r="1">
      <x v="11"/>
    </i>
    <i t="grand">
      <x/>
    </i>
  </rowItems>
  <colFields count="1">
    <field x="7"/>
  </colFields>
  <colItems count="6">
    <i>
      <x v="6"/>
    </i>
    <i>
      <x v="7"/>
    </i>
    <i>
      <x v="8"/>
    </i>
    <i>
      <x v="9"/>
    </i>
    <i>
      <x v="10"/>
    </i>
    <i t="grand">
      <x/>
    </i>
  </colItems>
  <pageFields count="1">
    <pageField fld="4" item="0" hier="-1"/>
  </pageFields>
  <dataFields count="1">
    <dataField name="Expenses" fld="2" baseField="0" baseItem="0" numFmtId="165"/>
  </dataFields>
  <formats count="1">
    <format dxfId="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C68E30-781D-47D9-AA11-CD4844420A95}" name="PivotTable2" cacheId="14" applyNumberFormats="0" applyBorderFormats="0" applyFontFormats="0" applyPatternFormats="0" applyAlignmentFormats="0" applyWidthHeightFormats="1" dataCaption="Values" grandTotalCaption="Total" updatedVersion="8" minRefreshableVersion="3" useAutoFormatting="1" itemPrintTitles="1" createdVersion="6" indent="0" outline="1" outlineData="1" multipleFieldFilters="0" rowHeaderCaption="Category" colHeaderCaption="Month">
  <location ref="A3:C7" firstHeaderRow="1" firstDataRow="2" firstDataCol="1" rowPageCount="1" colPageCount="1"/>
  <pivotFields count="8">
    <pivotField numFmtId="14" showAll="0"/>
    <pivotField showAll="0"/>
    <pivotField dataField="1" numFmtId="44" showAll="0"/>
    <pivotField numFmtId="44" showAll="0"/>
    <pivotField axis="axisPage" showAll="0">
      <items count="4">
        <item x="0"/>
        <item x="1"/>
        <item m="1" x="2"/>
        <item t="default"/>
      </items>
    </pivotField>
    <pivotField axis="axisRow" showAll="0">
      <items count="12">
        <item x="8"/>
        <item x="5"/>
        <item x="1"/>
        <item x="7"/>
        <item x="6"/>
        <item x="2"/>
        <item x="0"/>
        <item x="4"/>
        <item x="3"/>
        <item m="1" x="10"/>
        <item m="1" x="9"/>
        <item t="default"/>
      </items>
    </pivotField>
    <pivotField axis="axisRow" showAll="0">
      <items count="22">
        <item x="8"/>
        <item x="12"/>
        <item x="1"/>
        <item x="6"/>
        <item x="14"/>
        <item x="16"/>
        <item x="7"/>
        <item x="2"/>
        <item x="11"/>
        <item m="1" x="20"/>
        <item x="13"/>
        <item x="4"/>
        <item x="0"/>
        <item x="10"/>
        <item x="5"/>
        <item x="9"/>
        <item x="18"/>
        <item x="15"/>
        <item x="17"/>
        <item x="3"/>
        <item m="1" x="19"/>
        <item t="default"/>
      </items>
    </pivotField>
    <pivotField axis="axisCol" showAll="0" defaultSubtotal="0">
      <items count="14">
        <item x="0"/>
        <item x="1"/>
        <item x="2"/>
        <item x="3"/>
        <item x="4"/>
        <item x="5"/>
        <item x="6"/>
        <item x="7"/>
        <item x="8"/>
        <item x="9"/>
        <item x="10"/>
        <item x="11"/>
        <item x="12"/>
        <item x="13"/>
      </items>
    </pivotField>
  </pivotFields>
  <rowFields count="2">
    <field x="5"/>
    <field x="6"/>
  </rowFields>
  <rowItems count="3">
    <i>
      <x v="5"/>
    </i>
    <i r="1">
      <x v="10"/>
    </i>
    <i t="grand">
      <x/>
    </i>
  </rowItems>
  <colFields count="1">
    <field x="7"/>
  </colFields>
  <colItems count="2">
    <i>
      <x v="10"/>
    </i>
    <i t="grand">
      <x/>
    </i>
  </colItems>
  <pageFields count="1">
    <pageField fld="4" item="1" hier="-1"/>
  </pageFields>
  <dataFields count="1">
    <dataField name="Incom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992310-55A9-4C1E-8B6B-44953F463D03}" name="PTIncomeChart" cacheId="14"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9">
  <location ref="G3:H5" firstHeaderRow="1" firstDataRow="1" firstDataCol="1" rowPageCount="1" colPageCount="1"/>
  <pivotFields count="8">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numFmtId="44" showAll="0"/>
    <pivotField numFmtId="44" showAll="0"/>
    <pivotField axis="axisPage" showAll="0">
      <items count="4">
        <item x="0"/>
        <item x="1"/>
        <item m="1" x="2"/>
        <item t="default"/>
      </items>
    </pivotField>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7"/>
    <field x="0"/>
  </rowFields>
  <rowItems count="2">
    <i>
      <x v="10"/>
    </i>
    <i t="grand">
      <x/>
    </i>
  </rowItems>
  <colItems count="1">
    <i/>
  </colItems>
  <pageFields count="1">
    <pageField fld="4" item="1" hier="-1"/>
  </pageFields>
  <dataFields count="1">
    <dataField name="Sum of Amount" fld="2" baseField="0" baseItem="0" numFmtId="164"/>
  </dataFields>
  <formats count="1">
    <format dxfId="30">
      <pivotArea outline="0" collapsedLevelsAreSubtotals="1" fieldPosition="0"/>
    </format>
  </formats>
  <chartFormats count="3">
    <chartFormat chart="11"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3D7487-E91C-4A2D-8F85-427354FC5E6E}" name="PTTreeChart" cacheId="14" applyNumberFormats="0" applyBorderFormats="0" applyFontFormats="0" applyPatternFormats="0" applyAlignmentFormats="0" applyWidthHeightFormats="1" dataCaption="Values" updatedVersion="8" minRefreshableVersion="3" useAutoFormatting="1" rowGrandTotals="0" itemPrintTitles="1" createdVersion="6" indent="0" outline="1" outlineData="1" multipleFieldFilters="0">
  <location ref="V3:W31" firstHeaderRow="1" firstDataRow="1" firstDataCol="1" rowPageCount="1" colPageCount="1"/>
  <pivotFields count="8">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axis="axisPage" showAll="0">
      <items count="4">
        <item x="0"/>
        <item x="1"/>
        <item m="1" x="2"/>
        <item t="default"/>
      </items>
    </pivotField>
    <pivotField axis="axisRow" showAll="0" defaultSubtotal="0">
      <items count="11">
        <item x="8"/>
        <item x="5"/>
        <item x="1"/>
        <item x="7"/>
        <item x="6"/>
        <item x="2"/>
        <item x="0"/>
        <item x="4"/>
        <item x="3"/>
        <item m="1" x="10"/>
        <item m="1" x="9"/>
      </items>
    </pivotField>
    <pivotField axis="axisRow" showAll="0">
      <items count="22">
        <item x="8"/>
        <item x="12"/>
        <item x="1"/>
        <item x="6"/>
        <item x="14"/>
        <item x="16"/>
        <item x="7"/>
        <item x="2"/>
        <item x="11"/>
        <item m="1" x="20"/>
        <item x="13"/>
        <item x="4"/>
        <item x="0"/>
        <item x="10"/>
        <item x="5"/>
        <item x="9"/>
        <item x="15"/>
        <item x="17"/>
        <item x="3"/>
        <item m="1" x="19"/>
        <item x="18"/>
        <item t="default"/>
      </items>
    </pivotField>
    <pivotField showAll="0">
      <items count="15">
        <item x="0"/>
        <item x="1"/>
        <item x="2"/>
        <item x="3"/>
        <item x="4"/>
        <item x="5"/>
        <item x="6"/>
        <item x="7"/>
        <item x="8"/>
        <item x="9"/>
        <item x="10"/>
        <item x="11"/>
        <item x="12"/>
        <item x="13"/>
        <item t="default"/>
      </items>
    </pivotField>
  </pivotFields>
  <rowFields count="2">
    <field x="5"/>
    <field x="6"/>
  </rowFields>
  <rowItems count="28">
    <i>
      <x/>
    </i>
    <i r="1">
      <x v="17"/>
    </i>
    <i>
      <x v="1"/>
    </i>
    <i r="1">
      <x v="1"/>
    </i>
    <i r="1">
      <x v="5"/>
    </i>
    <i r="1">
      <x v="6"/>
    </i>
    <i>
      <x v="2"/>
    </i>
    <i r="1">
      <x v="7"/>
    </i>
    <i r="1">
      <x v="14"/>
    </i>
    <i>
      <x v="3"/>
    </i>
    <i r="1">
      <x v="15"/>
    </i>
    <i>
      <x v="4"/>
    </i>
    <i r="1">
      <x/>
    </i>
    <i r="1">
      <x v="13"/>
    </i>
    <i>
      <x v="5"/>
    </i>
    <i r="1">
      <x v="8"/>
    </i>
    <i r="1">
      <x v="10"/>
    </i>
    <i r="1">
      <x v="18"/>
    </i>
    <i r="1">
      <x v="20"/>
    </i>
    <i>
      <x v="6"/>
    </i>
    <i r="1">
      <x v="2"/>
    </i>
    <i r="1">
      <x v="4"/>
    </i>
    <i r="1">
      <x v="12"/>
    </i>
    <i r="1">
      <x v="16"/>
    </i>
    <i>
      <x v="7"/>
    </i>
    <i r="1">
      <x v="3"/>
    </i>
    <i>
      <x v="8"/>
    </i>
    <i r="1">
      <x v="11"/>
    </i>
  </rowItems>
  <colItems count="1">
    <i/>
  </colItems>
  <pageFields count="1">
    <pageField fld="4" item="0" hier="-1"/>
  </pageFields>
  <dataFields count="1">
    <dataField name="Sum of Amount" fld="2" baseField="0" baseItem="0" numFmtId="165"/>
  </dataFields>
  <formats count="1">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384FBC0-B8C9-47C0-AFAB-39FFCEBB6334}" name="PTDoughnut" cacheId="14"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5">
  <location ref="AE1:AF4" firstHeaderRow="1" firstDataRow="1" firstDataCol="1"/>
  <pivotFields count="8">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axis="axisRow" showAll="0">
      <items count="4">
        <item x="0"/>
        <item x="1"/>
        <item h="1" m="1" x="2"/>
        <item t="default"/>
      </items>
    </pivotField>
    <pivotField showAll="0"/>
    <pivotField showAll="0"/>
    <pivotField showAll="0">
      <items count="15">
        <item x="0"/>
        <item x="1"/>
        <item x="2"/>
        <item x="3"/>
        <item x="4"/>
        <item x="5"/>
        <item x="6"/>
        <item x="7"/>
        <item x="8"/>
        <item x="9"/>
        <item x="10"/>
        <item x="11"/>
        <item x="12"/>
        <item x="13"/>
        <item t="default"/>
      </items>
    </pivotField>
  </pivotFields>
  <rowFields count="1">
    <field x="4"/>
  </rowFields>
  <rowItems count="3">
    <i>
      <x/>
    </i>
    <i>
      <x v="1"/>
    </i>
    <i t="grand">
      <x/>
    </i>
  </rowItems>
  <colItems count="1">
    <i/>
  </colItems>
  <dataFields count="1">
    <dataField name="Sum of Amount" fld="2" baseField="0" baseItem="0" numFmtId="165"/>
  </dataFields>
  <formats count="1">
    <format dxfId="32">
      <pivotArea outline="0" collapsedLevelsAreSubtotals="1" fieldPosition="0"/>
    </format>
  </formats>
  <chartFormats count="6">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4" count="1" selected="0">
            <x v="0"/>
          </reference>
        </references>
      </pivotArea>
    </chartFormat>
    <chartFormat chart="3" format="3">
      <pivotArea type="data" outline="0" fieldPosition="0">
        <references count="2">
          <reference field="4294967294" count="1" selected="0">
            <x v="0"/>
          </reference>
          <reference field="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4" count="1" selected="0">
            <x v="0"/>
          </reference>
        </references>
      </pivotArea>
    </chartFormat>
    <chartFormat chart="4" format="6">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48F4097-93CD-450F-B01B-BFB6A00F13AF}" name="PTLineChart" cacheId="14"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0">
  <location ref="J3:T10" firstHeaderRow="1" firstDataRow="2" firstDataCol="1" rowPageCount="1" colPageCount="1"/>
  <pivotFields count="8">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axis="axisPage" showAll="0">
      <items count="4">
        <item x="0"/>
        <item x="1"/>
        <item m="1" x="2"/>
        <item t="default"/>
      </items>
    </pivotField>
    <pivotField axis="axisCol" showAll="0">
      <items count="12">
        <item x="8"/>
        <item x="5"/>
        <item x="1"/>
        <item x="7"/>
        <item x="6"/>
        <item x="2"/>
        <item x="0"/>
        <item x="4"/>
        <item x="3"/>
        <item m="1" x="10"/>
        <item m="1" x="9"/>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6">
    <i>
      <x v="6"/>
    </i>
    <i>
      <x v="7"/>
    </i>
    <i>
      <x v="8"/>
    </i>
    <i>
      <x v="9"/>
    </i>
    <i>
      <x v="10"/>
    </i>
    <i t="grand">
      <x/>
    </i>
  </rowItems>
  <colFields count="1">
    <field x="5"/>
  </colFields>
  <colItems count="10">
    <i>
      <x/>
    </i>
    <i>
      <x v="1"/>
    </i>
    <i>
      <x v="2"/>
    </i>
    <i>
      <x v="3"/>
    </i>
    <i>
      <x v="4"/>
    </i>
    <i>
      <x v="5"/>
    </i>
    <i>
      <x v="6"/>
    </i>
    <i>
      <x v="7"/>
    </i>
    <i>
      <x v="8"/>
    </i>
    <i t="grand">
      <x/>
    </i>
  </colItems>
  <pageFields count="1">
    <pageField fld="4" item="0" hier="-1"/>
  </pageFields>
  <dataFields count="1">
    <dataField name="Sum of Amount" fld="2" baseField="0" baseItem="0" numFmtId="165"/>
  </dataFields>
  <formats count="1">
    <format dxfId="33">
      <pivotArea outline="0" collapsedLevelsAreSubtotals="1" fieldPosition="0"/>
    </format>
  </formats>
  <chartFormats count="11">
    <chartFormat chart="9" format="18" series="1">
      <pivotArea type="data" outline="0" fieldPosition="0">
        <references count="2">
          <reference field="4294967294" count="1" selected="0">
            <x v="0"/>
          </reference>
          <reference field="5" count="1" selected="0">
            <x v="0"/>
          </reference>
        </references>
      </pivotArea>
    </chartFormat>
    <chartFormat chart="9" format="19" series="1">
      <pivotArea type="data" outline="0" fieldPosition="0">
        <references count="2">
          <reference field="4294967294" count="1" selected="0">
            <x v="0"/>
          </reference>
          <reference field="5" count="1" selected="0">
            <x v="1"/>
          </reference>
        </references>
      </pivotArea>
    </chartFormat>
    <chartFormat chart="9" format="20" series="1">
      <pivotArea type="data" outline="0" fieldPosition="0">
        <references count="2">
          <reference field="4294967294" count="1" selected="0">
            <x v="0"/>
          </reference>
          <reference field="5" count="1" selected="0">
            <x v="2"/>
          </reference>
        </references>
      </pivotArea>
    </chartFormat>
    <chartFormat chart="9" format="21" series="1">
      <pivotArea type="data" outline="0" fieldPosition="0">
        <references count="2">
          <reference field="4294967294" count="1" selected="0">
            <x v="0"/>
          </reference>
          <reference field="5" count="1" selected="0">
            <x v="3"/>
          </reference>
        </references>
      </pivotArea>
    </chartFormat>
    <chartFormat chart="9" format="22" series="1">
      <pivotArea type="data" outline="0" fieldPosition="0">
        <references count="2">
          <reference field="4294967294" count="1" selected="0">
            <x v="0"/>
          </reference>
          <reference field="5" count="1" selected="0">
            <x v="4"/>
          </reference>
        </references>
      </pivotArea>
    </chartFormat>
    <chartFormat chart="9" format="23" series="1">
      <pivotArea type="data" outline="0" fieldPosition="0">
        <references count="2">
          <reference field="4294967294" count="1" selected="0">
            <x v="0"/>
          </reference>
          <reference field="5" count="1" selected="0">
            <x v="5"/>
          </reference>
        </references>
      </pivotArea>
    </chartFormat>
    <chartFormat chart="9" format="24" series="1">
      <pivotArea type="data" outline="0" fieldPosition="0">
        <references count="2">
          <reference field="4294967294" count="1" selected="0">
            <x v="0"/>
          </reference>
          <reference field="5" count="1" selected="0">
            <x v="6"/>
          </reference>
        </references>
      </pivotArea>
    </chartFormat>
    <chartFormat chart="9" format="25" series="1">
      <pivotArea type="data" outline="0" fieldPosition="0">
        <references count="2">
          <reference field="4294967294" count="1" selected="0">
            <x v="0"/>
          </reference>
          <reference field="5" count="1" selected="0">
            <x v="7"/>
          </reference>
        </references>
      </pivotArea>
    </chartFormat>
    <chartFormat chart="9" format="26" series="1">
      <pivotArea type="data" outline="0" fieldPosition="0">
        <references count="2">
          <reference field="4294967294" count="1" selected="0">
            <x v="0"/>
          </reference>
          <reference field="5" count="1" selected="0">
            <x v="8"/>
          </reference>
        </references>
      </pivotArea>
    </chartFormat>
    <chartFormat chart="9" format="27" series="1">
      <pivotArea type="data" outline="0" fieldPosition="0">
        <references count="1">
          <reference field="4294967294" count="1" selected="0">
            <x v="0"/>
          </reference>
        </references>
      </pivotArea>
    </chartFormat>
    <chartFormat chart="9" format="28" series="1">
      <pivotArea type="data" outline="0" fieldPosition="0">
        <references count="2">
          <reference field="4294967294" count="1" selected="0">
            <x v="0"/>
          </reference>
          <reference field="5"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E1FC348-F5A6-4E10-ADF4-75F6123FC3F8}" name="PTWaterfallChart" cacheId="14" applyNumberFormats="0" applyBorderFormats="0" applyFontFormats="0" applyPatternFormats="0" applyAlignmentFormats="0" applyWidthHeightFormats="1" dataCaption="Values" grandTotalCaption="Total" updatedVersion="8" minRefreshableVersion="3" useAutoFormatting="1" itemPrintTitles="1" createdVersion="6" indent="0" outline="1" outlineData="1" multipleFieldFilters="0">
  <location ref="Y3:Z14" firstHeaderRow="1" firstDataRow="1" firstDataCol="1" rowPageCount="1" colPageCount="1"/>
  <pivotFields count="8">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dataField="1" showAll="0"/>
    <pivotField showAll="0"/>
    <pivotField axis="axisRow">
      <items count="12">
        <item m="1" x="10"/>
        <item x="8"/>
        <item x="5"/>
        <item x="1"/>
        <item x="7"/>
        <item x="6"/>
        <item x="2"/>
        <item x="0"/>
        <item x="4"/>
        <item x="3"/>
        <item h="1" m="1" x="9"/>
        <item t="default"/>
      </items>
    </pivotField>
    <pivotField showAll="0"/>
    <pivotField axis="axisPage" multipleItemSelectionAllowed="1" showAll="0">
      <items count="15">
        <item x="0"/>
        <item x="1"/>
        <item x="2"/>
        <item x="3"/>
        <item x="4"/>
        <item x="5"/>
        <item x="6"/>
        <item x="7"/>
        <item x="8"/>
        <item x="9"/>
        <item x="10"/>
        <item x="11"/>
        <item x="12"/>
        <item x="13"/>
        <item t="default"/>
      </items>
    </pivotField>
  </pivotFields>
  <rowFields count="1">
    <field x="5"/>
  </rowFields>
  <rowItems count="11">
    <i>
      <x/>
    </i>
    <i>
      <x v="1"/>
    </i>
    <i>
      <x v="2"/>
    </i>
    <i>
      <x v="3"/>
    </i>
    <i>
      <x v="4"/>
    </i>
    <i>
      <x v="5"/>
    </i>
    <i>
      <x v="6"/>
    </i>
    <i>
      <x v="7"/>
    </i>
    <i>
      <x v="8"/>
    </i>
    <i>
      <x v="9"/>
    </i>
    <i t="grand">
      <x/>
    </i>
  </rowItems>
  <colItems count="1">
    <i/>
  </colItems>
  <pageFields count="1">
    <pageField fld="7" hier="-1"/>
  </pageFields>
  <dataFields count="1">
    <dataField name="Sum of D/C" fld="3" baseField="0" baseItem="0" numFmtId="165"/>
  </dataFields>
  <formats count="1">
    <format dxfId="3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4CB722C-4C56-42A7-B320-0C93D15DC644}" name="PTCategorySlicer" cacheId="14" applyNumberFormats="0" applyBorderFormats="0" applyFontFormats="0" applyPatternFormats="0" applyAlignmentFormats="0" applyWidthHeightFormats="1" dataCaption="Values" updatedVersion="8" minRefreshableVersion="3" useAutoFormatting="1" rowGrandTotals="0" itemPrintTitles="1" createdVersion="6" indent="0" outline="1" outlineData="1" multipleFieldFilters="0">
  <location ref="AH3:AH12" firstHeaderRow="1" firstDataRow="1" firstDataCol="1" rowPageCount="1" colPageCount="1"/>
  <pivotFields count="8">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axis="axisPage" showAll="0">
      <items count="4">
        <item x="0"/>
        <item x="1"/>
        <item m="1" x="2"/>
        <item t="default"/>
      </items>
    </pivotField>
    <pivotField axis="axisRow" showAll="0">
      <items count="12">
        <item x="8"/>
        <item x="5"/>
        <item x="1"/>
        <item x="7"/>
        <item x="6"/>
        <item x="2"/>
        <item x="0"/>
        <item x="4"/>
        <item x="3"/>
        <item m="1" x="10"/>
        <item m="1" x="9"/>
        <item t="default"/>
      </items>
    </pivotField>
    <pivotField showAll="0"/>
    <pivotField showAll="0">
      <items count="15">
        <item x="0"/>
        <item x="1"/>
        <item x="2"/>
        <item x="3"/>
        <item x="4"/>
        <item x="5"/>
        <item x="6"/>
        <item x="7"/>
        <item x="8"/>
        <item x="9"/>
        <item x="10"/>
        <item x="11"/>
        <item x="12"/>
        <item x="13"/>
        <item t="default"/>
      </items>
    </pivotField>
  </pivotFields>
  <rowFields count="1">
    <field x="5"/>
  </rowFields>
  <rowItems count="9">
    <i>
      <x/>
    </i>
    <i>
      <x v="1"/>
    </i>
    <i>
      <x v="2"/>
    </i>
    <i>
      <x v="3"/>
    </i>
    <i>
      <x v="4"/>
    </i>
    <i>
      <x v="5"/>
    </i>
    <i>
      <x v="6"/>
    </i>
    <i>
      <x v="7"/>
    </i>
    <i>
      <x v="8"/>
    </i>
  </rowItems>
  <colItems count="1">
    <i/>
  </colItems>
  <pageFields count="1">
    <pageField fld="4" item="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F298888-510C-46DF-9DF2-0EF83BDC21FA}" name="PTHeader" cacheId="14" applyNumberFormats="0" applyBorderFormats="0" applyFontFormats="0" applyPatternFormats="0" applyAlignmentFormats="0" applyWidthHeightFormats="1" dataCaption="Values" grandTotalCaption="Total" updatedVersion="8" minRefreshableVersion="3" useAutoFormatting="1" itemPrintTitles="1" createdVersion="6" indent="0" outline="1" outlineData="1" multipleFieldFilters="0">
  <location ref="A3:B13" firstHeaderRow="1" firstDataRow="1" firstDataCol="1" rowPageCount="1" colPageCount="1"/>
  <pivotFields count="8">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numFmtId="44" showAll="0"/>
    <pivotField numFmtId="44" showAll="0"/>
    <pivotField axis="axisPage" showAll="0">
      <items count="4">
        <item x="0"/>
        <item x="1"/>
        <item m="1" x="2"/>
        <item t="default"/>
      </items>
    </pivotField>
    <pivotField axis="axisRow" showAll="0">
      <items count="12">
        <item x="8"/>
        <item x="5"/>
        <item x="1"/>
        <item x="7"/>
        <item x="6"/>
        <item x="2"/>
        <item x="0"/>
        <item x="4"/>
        <item x="3"/>
        <item m="1" x="10"/>
        <item m="1" x="9"/>
        <item t="default"/>
      </items>
    </pivotField>
    <pivotField showAll="0"/>
    <pivotField showAll="0">
      <items count="15">
        <item x="0"/>
        <item x="1"/>
        <item x="2"/>
        <item x="3"/>
        <item x="4"/>
        <item x="5"/>
        <item x="6"/>
        <item x="7"/>
        <item x="8"/>
        <item x="9"/>
        <item x="10"/>
        <item x="11"/>
        <item x="12"/>
        <item x="13"/>
        <item t="default"/>
      </items>
    </pivotField>
  </pivotFields>
  <rowFields count="1">
    <field x="5"/>
  </rowFields>
  <rowItems count="10">
    <i>
      <x/>
    </i>
    <i>
      <x v="1"/>
    </i>
    <i>
      <x v="2"/>
    </i>
    <i>
      <x v="3"/>
    </i>
    <i>
      <x v="4"/>
    </i>
    <i>
      <x v="5"/>
    </i>
    <i>
      <x v="6"/>
    </i>
    <i>
      <x v="7"/>
    </i>
    <i>
      <x v="8"/>
    </i>
    <i t="grand">
      <x/>
    </i>
  </rowItems>
  <colItems count="1">
    <i/>
  </colItems>
  <pageFields count="1">
    <pageField fld="4" item="0" hier="-1"/>
  </pageFields>
  <dataFields count="1">
    <dataField name="Sum of Amount" fld="2" baseField="0" baseItem="0" numFmtId="164"/>
  </dataFields>
  <formats count="1">
    <format dxfId="3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5D71DD8-8D63-40DE-8335-8D8F9424B72F}" name="PTSpentChart" cacheId="14"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14">
  <location ref="D3:E9" firstHeaderRow="1" firstDataRow="1" firstDataCol="1" rowPageCount="1" colPageCount="1"/>
  <pivotFields count="8">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numFmtId="44" showAll="0"/>
    <pivotField numFmtId="44" showAll="0"/>
    <pivotField axis="axisPage" showAll="0">
      <items count="4">
        <item x="0"/>
        <item x="1"/>
        <item m="1" x="2"/>
        <item t="default"/>
      </items>
    </pivotField>
    <pivotField showAll="0">
      <items count="12">
        <item x="8"/>
        <item x="5"/>
        <item x="1"/>
        <item x="7"/>
        <item x="6"/>
        <item x="2"/>
        <item x="0"/>
        <item x="4"/>
        <item x="3"/>
        <item m="1" x="10"/>
        <item m="1" x="9"/>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6">
    <i>
      <x v="6"/>
    </i>
    <i>
      <x v="7"/>
    </i>
    <i>
      <x v="8"/>
    </i>
    <i>
      <x v="9"/>
    </i>
    <i>
      <x v="10"/>
    </i>
    <i t="grand">
      <x/>
    </i>
  </rowItems>
  <colItems count="1">
    <i/>
  </colItems>
  <pageFields count="1">
    <pageField fld="4" item="0" hier="-1"/>
  </pageFields>
  <dataFields count="1">
    <dataField name="Sum of Amount" fld="2" baseField="0" baseItem="0" numFmtId="164"/>
  </dataFields>
  <formats count="1">
    <format dxfId="36">
      <pivotArea outline="0" collapsedLevelsAreSubtotals="1" fieldPosition="0"/>
    </format>
  </formats>
  <chartFormats count="1">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C0056C4-59F3-47B7-86F7-0A6D8CD8B624}" name="PTTop5" cacheId="14"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B1:AC7" firstHeaderRow="1" firstDataRow="1" firstDataCol="1"/>
  <pivotFields count="8">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pivotField showAll="0"/>
    <pivotField axis="axisRow" showAll="0" measureFilter="1" sortType="descending">
      <items count="12">
        <item x="8"/>
        <item x="5"/>
        <item x="1"/>
        <item x="7"/>
        <item x="6"/>
        <item x="2"/>
        <item x="0"/>
        <item x="4"/>
        <item x="3"/>
        <item m="1" x="10"/>
        <item m="1" x="9"/>
        <item t="default"/>
      </items>
      <autoSortScope>
        <pivotArea dataOnly="0" outline="0" fieldPosition="0">
          <references count="1">
            <reference field="4294967294" count="1" selected="0">
              <x v="0"/>
            </reference>
          </references>
        </pivotArea>
      </autoSortScope>
    </pivotField>
    <pivotField showAll="0"/>
    <pivotField showAll="0">
      <items count="15">
        <item x="0"/>
        <item x="1"/>
        <item x="2"/>
        <item x="3"/>
        <item x="4"/>
        <item x="5"/>
        <item x="6"/>
        <item x="7"/>
        <item x="8"/>
        <item x="9"/>
        <item x="10"/>
        <item x="11"/>
        <item x="12"/>
        <item x="13"/>
        <item t="default"/>
      </items>
    </pivotField>
  </pivotFields>
  <rowFields count="1">
    <field x="5"/>
  </rowFields>
  <rowItems count="6">
    <i>
      <x v="4"/>
    </i>
    <i>
      <x v="1"/>
    </i>
    <i>
      <x v="2"/>
    </i>
    <i>
      <x v="5"/>
    </i>
    <i>
      <x v="6"/>
    </i>
    <i t="grand">
      <x/>
    </i>
  </rowItems>
  <colItems count="1">
    <i/>
  </colItems>
  <dataFields count="1">
    <dataField name="Sum of Amount" fld="2" baseField="0" baseItem="0" numFmtId="165"/>
  </dataFields>
  <formats count="1">
    <format dxfId="37">
      <pivotArea outline="0" collapsedLevelsAreSubtotals="1" fieldPosition="0"/>
    </format>
  </formats>
  <pivotTableStyleInfo name="PivotStyleLight16" showRowHeaders="1" showColHeaders="1" showRowStripes="0" showColStripes="0" showLastColumn="1"/>
  <filters count="1">
    <filter fld="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EE1E6BA-3C79-4779-A6C1-088DF8ACFB5F}" sourceName="Category">
  <pivotTables>
    <pivotTable tabId="8" name="PTTreeChart"/>
    <pivotTable tabId="8" name="PTSpentChart"/>
    <pivotTable tabId="8" name="PTCategorySlicer"/>
  </pivotTables>
  <data>
    <tabular pivotCacheId="1096007762">
      <items count="11">
        <i x="8" s="1"/>
        <i x="5" s="1"/>
        <i x="1" s="1"/>
        <i x="7" s="1"/>
        <i x="6" s="1"/>
        <i x="2" s="1"/>
        <i x="0" s="1"/>
        <i x="4" s="1"/>
        <i x="3" s="1"/>
        <i x="10" s="1" nd="1"/>
        <i x="9"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D091B9D0-D18D-4E05-9882-4A224C61CEFC}" sourceName="Months">
  <pivotTables>
    <pivotTable tabId="8" name="PTWaterfallChart"/>
    <pivotTable tabId="8" name="PTTop5"/>
    <pivotTable tabId="8" name="PTTreeChart"/>
  </pivotTables>
  <data>
    <tabular pivotCacheId="1096007762">
      <items count="14">
        <i x="6" s="1"/>
        <i x="7" s="1"/>
        <i x="8" s="1"/>
        <i x="9" s="1"/>
        <i x="10" s="1"/>
        <i x="1" s="1" nd="1"/>
        <i x="2" s="1" nd="1"/>
        <i x="3" s="1" nd="1"/>
        <i x="4" s="1" nd="1"/>
        <i x="5" s="1" nd="1"/>
        <i x="11" s="1" nd="1"/>
        <i x="12" s="1" nd="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D2410942-B980-4C05-9D67-180E236BB016}" cache="Slicer_Category" caption="Category" columnCount="2" style="SlicerStyleDark6" rowHeight="252000"/>
  <slicer name="Months" xr10:uid="{37D802BD-F8EB-4216-A650-80A989A6A1E9}" cache="Slicer_Months" caption="Mths" columnCount="2" style="SlicerStyleDark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DA6D0AD-E2AB-4F2C-A51F-EC0A62B30F75}" name="TableTransactions" displayName="TableTransactions" ref="A1:G111" totalsRowShown="0">
  <autoFilter ref="A1:G111" xr:uid="{1DA6D0AD-E2AB-4F2C-A51F-EC0A62B30F75}"/>
  <tableColumns count="7">
    <tableColumn id="1" xr3:uid="{4612FBD1-70DC-4863-AB9C-DD8908F46498}" name="Date" dataDxfId="29"/>
    <tableColumn id="2" xr3:uid="{FA898DBD-9448-4C08-AED7-1B7E1FDF2BFA}" name="Description"/>
    <tableColumn id="3" xr3:uid="{FE917CD5-03C1-46E8-B0A3-2E28F8BCDA07}" name="Amount" dataDxfId="28"/>
    <tableColumn id="4" xr3:uid="{DD07F577-1E2E-4FF3-A064-9C6B199988B9}" name="D/C" dataDxfId="27">
      <calculatedColumnFormula>IF(TableTransactions[[#This Row],[Category Type]]="Expense",-TableTransactions[[#This Row],[Amount]],TableTransactions[[#This Row],[Amount]])</calculatedColumnFormula>
    </tableColumn>
    <tableColumn id="5" xr3:uid="{D183C361-D120-47D1-9EBF-52DADB56C486}" name="Category Type"/>
    <tableColumn id="6" xr3:uid="{19897F97-0D53-48E6-9B64-76FD84C2C950}" name="Category"/>
    <tableColumn id="7" xr3:uid="{F17E42CB-EA25-49F5-8203-928471C646C5}" name="Sub-Category"/>
  </tableColumns>
  <tableStyleInfo name="TableStyleDark7"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212745"/>
      </a:dk2>
      <a:lt2>
        <a:srgbClr val="B4DCFA"/>
      </a:lt2>
      <a:accent1>
        <a:srgbClr val="10BEFF"/>
      </a:accent1>
      <a:accent2>
        <a:srgbClr val="E10F5A"/>
      </a:accent2>
      <a:accent3>
        <a:srgbClr val="32D700"/>
      </a:accent3>
      <a:accent4>
        <a:srgbClr val="FFBE00"/>
      </a:accent4>
      <a:accent5>
        <a:srgbClr val="BE3CDC"/>
      </a:accent5>
      <a:accent6>
        <a:srgbClr val="016E51"/>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0.xml"/><Relationship Id="rId3" Type="http://schemas.openxmlformats.org/officeDocument/2006/relationships/pivotTable" Target="../pivotTables/pivotTable5.xml"/><Relationship Id="rId7" Type="http://schemas.openxmlformats.org/officeDocument/2006/relationships/pivotTable" Target="../pivotTables/pivotTable9.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16.emf"/><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5.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31B7F-762F-4984-AA3F-0DE8EF4D111E}">
  <sheetPr codeName="Sheet1"/>
  <dimension ref="I28:K32"/>
  <sheetViews>
    <sheetView showGridLines="0" showRowColHeaders="0" tabSelected="1" zoomScaleNormal="100" workbookViewId="0">
      <selection activeCell="AA20" sqref="AA20"/>
    </sheetView>
  </sheetViews>
  <sheetFormatPr defaultRowHeight="14.25" x14ac:dyDescent="0.2"/>
  <cols>
    <col min="1" max="8" width="9.140625" style="4"/>
    <col min="9" max="9" width="16.140625" style="4" bestFit="1" customWidth="1"/>
    <col min="10" max="11" width="11.7109375" style="4" bestFit="1" customWidth="1"/>
    <col min="12" max="16384" width="9.140625" style="4"/>
  </cols>
  <sheetData>
    <row r="28" spans="9:11" x14ac:dyDescent="0.2">
      <c r="I28" s="12" t="str">
        <f>Analysis!AB2</f>
        <v>Home</v>
      </c>
      <c r="J28" s="13">
        <f>Analysis!AC2</f>
        <v>2295.02</v>
      </c>
      <c r="K28" s="10">
        <f>J28</f>
        <v>2295.02</v>
      </c>
    </row>
    <row r="29" spans="9:11" x14ac:dyDescent="0.2">
      <c r="I29" s="12" t="str">
        <f>Analysis!AB3</f>
        <v>Entertainment</v>
      </c>
      <c r="J29" s="13">
        <f>Analysis!AC3</f>
        <v>884.7</v>
      </c>
      <c r="K29" s="10">
        <f t="shared" ref="K29:K32" si="0">J29</f>
        <v>884.7</v>
      </c>
    </row>
    <row r="30" spans="9:11" x14ac:dyDescent="0.2">
      <c r="I30" s="12" t="str">
        <f>Analysis!AB4</f>
        <v>Everyday</v>
      </c>
      <c r="J30" s="13">
        <f>Analysis!AC4</f>
        <v>545.4799999999999</v>
      </c>
      <c r="K30" s="10">
        <f t="shared" si="0"/>
        <v>545.4799999999999</v>
      </c>
    </row>
    <row r="31" spans="9:11" x14ac:dyDescent="0.2">
      <c r="I31" s="12" t="str">
        <f>Analysis!AB5</f>
        <v>Other</v>
      </c>
      <c r="J31" s="13">
        <f>Analysis!AC5</f>
        <v>530.29999999999995</v>
      </c>
      <c r="K31" s="10">
        <f t="shared" si="0"/>
        <v>530.29999999999995</v>
      </c>
    </row>
    <row r="32" spans="9:11" x14ac:dyDescent="0.2">
      <c r="I32" s="12" t="str">
        <f>Analysis!AB6</f>
        <v>Transport</v>
      </c>
      <c r="J32" s="13">
        <f>Analysis!AC6</f>
        <v>125.22000000000001</v>
      </c>
      <c r="K32" s="10">
        <f t="shared" si="0"/>
        <v>125.22000000000001</v>
      </c>
    </row>
  </sheetData>
  <conditionalFormatting sqref="K28:K32">
    <cfRule type="dataBar" priority="1">
      <dataBar showValue="0">
        <cfvo type="min"/>
        <cfvo type="max"/>
        <color theme="8"/>
      </dataBar>
      <extLst>
        <ext xmlns:x14="http://schemas.microsoft.com/office/spreadsheetml/2009/9/main" uri="{B025F937-C7B1-47D3-B67F-A62EFF666E3E}">
          <x14:id>{511F0523-B5F8-4467-A068-B4B19BE797A6}</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511F0523-B5F8-4467-A068-B4B19BE797A6}">
            <x14:dataBar minLength="0" maxLength="100" gradient="0">
              <x14:cfvo type="autoMin"/>
              <x14:cfvo type="autoMax"/>
              <x14:negativeFillColor rgb="FFFF0000"/>
              <x14:axisColor rgb="FF000000"/>
            </x14:dataBar>
          </x14:cfRule>
          <xm:sqref>K28:K32</xm:sqref>
        </x14:conditionalFormatting>
      </x14:conditionalFormattings>
    </ex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45379-C5DF-4A3F-AB0B-5E0DA0C29660}">
  <sheetPr codeName="Sheet5"/>
  <dimension ref="A1:G33"/>
  <sheetViews>
    <sheetView workbookViewId="0">
      <selection activeCell="D12" sqref="D12"/>
    </sheetView>
  </sheetViews>
  <sheetFormatPr defaultRowHeight="15" x14ac:dyDescent="0.25"/>
  <cols>
    <col min="1" max="1" width="16.7109375" bestFit="1" customWidth="1"/>
    <col min="2" max="2" width="10.7109375" bestFit="1" customWidth="1"/>
    <col min="3" max="3" width="8.28515625" bestFit="1" customWidth="1"/>
    <col min="4" max="6" width="6.85546875" bestFit="1" customWidth="1"/>
    <col min="7" max="7" width="8.28515625" bestFit="1" customWidth="1"/>
    <col min="8" max="8" width="14.85546875" bestFit="1" customWidth="1"/>
    <col min="9" max="9" width="10.85546875" bestFit="1" customWidth="1"/>
    <col min="10" max="10" width="14.85546875" bestFit="1" customWidth="1"/>
    <col min="11" max="11" width="10.85546875" bestFit="1" customWidth="1"/>
    <col min="12" max="12" width="19.85546875" bestFit="1" customWidth="1"/>
    <col min="13" max="13" width="15.85546875" bestFit="1" customWidth="1"/>
  </cols>
  <sheetData>
    <row r="1" spans="1:7" x14ac:dyDescent="0.25">
      <c r="A1" s="1" t="s">
        <v>0</v>
      </c>
      <c r="B1" t="s">
        <v>3</v>
      </c>
    </row>
    <row r="3" spans="1:7" x14ac:dyDescent="0.25">
      <c r="A3" s="1" t="s">
        <v>161</v>
      </c>
      <c r="B3" s="1" t="s">
        <v>160</v>
      </c>
    </row>
    <row r="4" spans="1:7" x14ac:dyDescent="0.25">
      <c r="A4" s="1" t="s">
        <v>1</v>
      </c>
      <c r="B4" t="s">
        <v>125</v>
      </c>
      <c r="C4" t="s">
        <v>126</v>
      </c>
      <c r="D4" t="s">
        <v>127</v>
      </c>
      <c r="E4" t="s">
        <v>128</v>
      </c>
      <c r="F4" t="s">
        <v>134</v>
      </c>
      <c r="G4" t="s">
        <v>94</v>
      </c>
    </row>
    <row r="5" spans="1:7" x14ac:dyDescent="0.25">
      <c r="A5" s="2" t="s">
        <v>11</v>
      </c>
      <c r="B5" s="7"/>
      <c r="C5" s="7"/>
      <c r="D5" s="7"/>
      <c r="E5" s="7">
        <v>38</v>
      </c>
      <c r="F5" s="7"/>
      <c r="G5" s="7">
        <v>38</v>
      </c>
    </row>
    <row r="6" spans="1:7" x14ac:dyDescent="0.25">
      <c r="A6" s="6" t="s">
        <v>12</v>
      </c>
      <c r="B6" s="7"/>
      <c r="C6" s="7"/>
      <c r="D6" s="7"/>
      <c r="E6" s="7">
        <v>38</v>
      </c>
      <c r="F6" s="7"/>
      <c r="G6" s="7">
        <v>38</v>
      </c>
    </row>
    <row r="7" spans="1:7" x14ac:dyDescent="0.25">
      <c r="A7" s="2" t="s">
        <v>14</v>
      </c>
      <c r="B7" s="7">
        <v>39.96</v>
      </c>
      <c r="C7" s="7">
        <v>11.959999999999999</v>
      </c>
      <c r="D7" s="7">
        <v>194.84</v>
      </c>
      <c r="E7" s="7">
        <v>555.07999999999993</v>
      </c>
      <c r="F7" s="7">
        <v>82.86</v>
      </c>
      <c r="G7" s="7">
        <v>884.69999999999993</v>
      </c>
    </row>
    <row r="8" spans="1:7" x14ac:dyDescent="0.25">
      <c r="A8" s="6" t="s">
        <v>113</v>
      </c>
      <c r="B8" s="7"/>
      <c r="C8" s="7"/>
      <c r="D8" s="7"/>
      <c r="E8" s="7">
        <v>306.77999999999997</v>
      </c>
      <c r="F8" s="7">
        <v>21.86</v>
      </c>
      <c r="G8" s="7">
        <v>328.64</v>
      </c>
    </row>
    <row r="9" spans="1:7" x14ac:dyDescent="0.25">
      <c r="A9" s="6" t="s">
        <v>19</v>
      </c>
      <c r="B9" s="7"/>
      <c r="C9" s="7"/>
      <c r="D9" s="7"/>
      <c r="E9" s="7">
        <v>50.52</v>
      </c>
      <c r="F9" s="7">
        <v>50</v>
      </c>
      <c r="G9" s="7">
        <v>100.52000000000001</v>
      </c>
    </row>
    <row r="10" spans="1:7" x14ac:dyDescent="0.25">
      <c r="A10" s="6" t="s">
        <v>15</v>
      </c>
      <c r="B10" s="7">
        <v>39.96</v>
      </c>
      <c r="C10" s="7">
        <v>11.959999999999999</v>
      </c>
      <c r="D10" s="7">
        <v>194.84</v>
      </c>
      <c r="E10" s="7">
        <v>197.78</v>
      </c>
      <c r="F10" s="7">
        <v>11</v>
      </c>
      <c r="G10" s="7">
        <v>455.53999999999996</v>
      </c>
    </row>
    <row r="11" spans="1:7" x14ac:dyDescent="0.25">
      <c r="A11" s="2" t="s">
        <v>21</v>
      </c>
      <c r="B11" s="7">
        <v>471.35</v>
      </c>
      <c r="C11" s="7">
        <v>24.67</v>
      </c>
      <c r="D11" s="7"/>
      <c r="E11" s="7">
        <v>36.549999999999997</v>
      </c>
      <c r="F11" s="7">
        <v>12.91</v>
      </c>
      <c r="G11" s="7">
        <v>545.48</v>
      </c>
    </row>
    <row r="12" spans="1:7" x14ac:dyDescent="0.25">
      <c r="A12" s="6" t="s">
        <v>22</v>
      </c>
      <c r="B12" s="7">
        <v>294.35000000000002</v>
      </c>
      <c r="C12" s="7">
        <v>24.67</v>
      </c>
      <c r="D12" s="7"/>
      <c r="E12" s="7">
        <v>9.9</v>
      </c>
      <c r="F12" s="7">
        <v>4.93</v>
      </c>
      <c r="G12" s="7">
        <v>333.85</v>
      </c>
    </row>
    <row r="13" spans="1:7" x14ac:dyDescent="0.25">
      <c r="A13" s="6" t="s">
        <v>23</v>
      </c>
      <c r="B13" s="7">
        <v>177</v>
      </c>
      <c r="C13" s="7"/>
      <c r="D13" s="7"/>
      <c r="E13" s="7">
        <v>26.65</v>
      </c>
      <c r="F13" s="7">
        <v>7.9799999999999995</v>
      </c>
      <c r="G13" s="7">
        <v>211.63</v>
      </c>
    </row>
    <row r="14" spans="1:7" x14ac:dyDescent="0.25">
      <c r="A14" s="2" t="s">
        <v>27</v>
      </c>
      <c r="B14" s="7">
        <v>102.98</v>
      </c>
      <c r="C14" s="7"/>
      <c r="D14" s="7"/>
      <c r="E14" s="7"/>
      <c r="F14" s="7"/>
      <c r="G14" s="7">
        <v>102.98</v>
      </c>
    </row>
    <row r="15" spans="1:7" x14ac:dyDescent="0.25">
      <c r="A15" s="6" t="s">
        <v>29</v>
      </c>
      <c r="B15" s="7">
        <v>102.98</v>
      </c>
      <c r="C15" s="7"/>
      <c r="D15" s="7"/>
      <c r="E15" s="7"/>
      <c r="F15" s="7"/>
      <c r="G15" s="7">
        <v>102.98</v>
      </c>
    </row>
    <row r="16" spans="1:7" x14ac:dyDescent="0.25">
      <c r="A16" s="2" t="s">
        <v>32</v>
      </c>
      <c r="B16" s="7">
        <v>229.11</v>
      </c>
      <c r="C16" s="7">
        <v>1465.9099999999999</v>
      </c>
      <c r="D16" s="7">
        <v>200</v>
      </c>
      <c r="E16" s="7">
        <v>200</v>
      </c>
      <c r="F16" s="7">
        <v>200</v>
      </c>
      <c r="G16" s="7">
        <v>2295.02</v>
      </c>
    </row>
    <row r="17" spans="1:7" x14ac:dyDescent="0.25">
      <c r="A17" s="6" t="s">
        <v>33</v>
      </c>
      <c r="B17" s="7">
        <v>229.11</v>
      </c>
      <c r="C17" s="7">
        <v>363.31</v>
      </c>
      <c r="D17" s="7"/>
      <c r="E17" s="7"/>
      <c r="F17" s="7"/>
      <c r="G17" s="7">
        <v>592.42000000000007</v>
      </c>
    </row>
    <row r="18" spans="1:7" x14ac:dyDescent="0.25">
      <c r="A18" s="6" t="s">
        <v>34</v>
      </c>
      <c r="B18" s="7"/>
      <c r="C18" s="7">
        <v>1102.5999999999999</v>
      </c>
      <c r="D18" s="7">
        <v>200</v>
      </c>
      <c r="E18" s="7">
        <v>200</v>
      </c>
      <c r="F18" s="7">
        <v>200</v>
      </c>
      <c r="G18" s="7">
        <v>1702.6</v>
      </c>
    </row>
    <row r="19" spans="1:7" x14ac:dyDescent="0.25">
      <c r="A19" s="2" t="s">
        <v>6</v>
      </c>
      <c r="B19" s="7">
        <v>300</v>
      </c>
      <c r="C19" s="7">
        <v>20</v>
      </c>
      <c r="D19" s="7">
        <v>60</v>
      </c>
      <c r="E19" s="7">
        <v>110.30000000000001</v>
      </c>
      <c r="F19" s="7">
        <v>20</v>
      </c>
      <c r="G19" s="7">
        <v>510.3</v>
      </c>
    </row>
    <row r="20" spans="1:7" x14ac:dyDescent="0.25">
      <c r="A20" s="6" t="s">
        <v>43</v>
      </c>
      <c r="B20" s="7"/>
      <c r="C20" s="7"/>
      <c r="D20" s="7">
        <v>40</v>
      </c>
      <c r="E20" s="7">
        <v>20</v>
      </c>
      <c r="F20" s="7"/>
      <c r="G20" s="7">
        <v>60</v>
      </c>
    </row>
    <row r="21" spans="1:7" x14ac:dyDescent="0.25">
      <c r="A21" s="6" t="s">
        <v>44</v>
      </c>
      <c r="B21" s="7"/>
      <c r="C21" s="7"/>
      <c r="D21" s="7"/>
      <c r="E21" s="7">
        <v>55.4</v>
      </c>
      <c r="F21" s="7"/>
      <c r="G21" s="7">
        <v>55.4</v>
      </c>
    </row>
    <row r="22" spans="1:7" x14ac:dyDescent="0.25">
      <c r="A22" s="6" t="s">
        <v>45</v>
      </c>
      <c r="B22" s="7"/>
      <c r="C22" s="7"/>
      <c r="D22" s="7"/>
      <c r="E22" s="7">
        <v>4.9000000000000004</v>
      </c>
      <c r="F22" s="7">
        <v>20</v>
      </c>
      <c r="G22" s="7">
        <v>24.9</v>
      </c>
    </row>
    <row r="23" spans="1:7" x14ac:dyDescent="0.25">
      <c r="A23" s="6" t="s">
        <v>46</v>
      </c>
      <c r="B23" s="7">
        <v>300</v>
      </c>
      <c r="C23" s="7">
        <v>20</v>
      </c>
      <c r="D23" s="7">
        <v>20</v>
      </c>
      <c r="E23" s="7">
        <v>30</v>
      </c>
      <c r="F23" s="7"/>
      <c r="G23" s="7">
        <v>370</v>
      </c>
    </row>
    <row r="24" spans="1:7" x14ac:dyDescent="0.25">
      <c r="A24" s="2" t="s">
        <v>93</v>
      </c>
      <c r="B24" s="7">
        <v>89.12</v>
      </c>
      <c r="C24" s="7"/>
      <c r="D24" s="7"/>
      <c r="E24" s="7">
        <v>36.1</v>
      </c>
      <c r="F24" s="7"/>
      <c r="G24" s="7">
        <v>125.22</v>
      </c>
    </row>
    <row r="25" spans="1:7" x14ac:dyDescent="0.25">
      <c r="A25" s="6" t="s">
        <v>117</v>
      </c>
      <c r="B25" s="7">
        <v>58.52</v>
      </c>
      <c r="C25" s="7"/>
      <c r="D25" s="7"/>
      <c r="E25" s="7"/>
      <c r="F25" s="7"/>
      <c r="G25" s="7">
        <v>58.52</v>
      </c>
    </row>
    <row r="26" spans="1:7" x14ac:dyDescent="0.25">
      <c r="A26" s="6" t="s">
        <v>52</v>
      </c>
      <c r="B26" s="7"/>
      <c r="C26" s="7"/>
      <c r="D26" s="7"/>
      <c r="E26" s="7">
        <v>34.9</v>
      </c>
      <c r="F26" s="7"/>
      <c r="G26" s="7">
        <v>34.9</v>
      </c>
    </row>
    <row r="27" spans="1:7" x14ac:dyDescent="0.25">
      <c r="A27" s="6" t="s">
        <v>108</v>
      </c>
      <c r="B27" s="7">
        <v>30.599999999999998</v>
      </c>
      <c r="C27" s="7"/>
      <c r="D27" s="7"/>
      <c r="E27" s="7"/>
      <c r="F27" s="7"/>
      <c r="G27" s="7">
        <v>30.599999999999998</v>
      </c>
    </row>
    <row r="28" spans="1:7" x14ac:dyDescent="0.25">
      <c r="A28" s="6" t="s">
        <v>55</v>
      </c>
      <c r="B28" s="7"/>
      <c r="C28" s="7"/>
      <c r="D28" s="7"/>
      <c r="E28" s="7">
        <v>1.2</v>
      </c>
      <c r="F28" s="7"/>
      <c r="G28" s="7">
        <v>1.2</v>
      </c>
    </row>
    <row r="29" spans="1:7" x14ac:dyDescent="0.25">
      <c r="A29" s="2" t="s">
        <v>56</v>
      </c>
      <c r="B29" s="7">
        <v>19.100000000000001</v>
      </c>
      <c r="C29" s="7"/>
      <c r="D29" s="7"/>
      <c r="E29" s="7"/>
      <c r="F29" s="7"/>
      <c r="G29" s="7">
        <v>19.100000000000001</v>
      </c>
    </row>
    <row r="30" spans="1:7" x14ac:dyDescent="0.25">
      <c r="A30" s="6" t="s">
        <v>48</v>
      </c>
      <c r="B30" s="7">
        <v>19.100000000000001</v>
      </c>
      <c r="C30" s="7"/>
      <c r="D30" s="7"/>
      <c r="E30" s="7"/>
      <c r="F30" s="7"/>
      <c r="G30" s="7">
        <v>19.100000000000001</v>
      </c>
    </row>
    <row r="31" spans="1:7" x14ac:dyDescent="0.25">
      <c r="A31" s="2" t="s">
        <v>59</v>
      </c>
      <c r="B31" s="7">
        <v>22.7</v>
      </c>
      <c r="C31" s="7">
        <v>40.89</v>
      </c>
      <c r="D31" s="7"/>
      <c r="E31" s="7"/>
      <c r="F31" s="7"/>
      <c r="G31" s="7">
        <v>63.59</v>
      </c>
    </row>
    <row r="32" spans="1:7" x14ac:dyDescent="0.25">
      <c r="A32" s="6" t="s">
        <v>60</v>
      </c>
      <c r="B32" s="7">
        <v>22.7</v>
      </c>
      <c r="C32" s="7">
        <v>40.89</v>
      </c>
      <c r="D32" s="7"/>
      <c r="E32" s="7"/>
      <c r="F32" s="7"/>
      <c r="G32" s="7">
        <v>63.59</v>
      </c>
    </row>
    <row r="33" spans="1:7" x14ac:dyDescent="0.25">
      <c r="A33" s="2" t="s">
        <v>94</v>
      </c>
      <c r="B33" s="7">
        <v>1274.32</v>
      </c>
      <c r="C33" s="7">
        <v>1563.43</v>
      </c>
      <c r="D33" s="7">
        <v>454.84000000000003</v>
      </c>
      <c r="E33" s="7">
        <v>976.02999999999986</v>
      </c>
      <c r="F33" s="7">
        <v>315.77</v>
      </c>
      <c r="G33" s="7">
        <v>4584.3900000000003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BF34C-32EE-4787-9291-C7A61181ACDF}">
  <sheetPr codeName="Sheet6"/>
  <dimension ref="A1:C7"/>
  <sheetViews>
    <sheetView workbookViewId="0">
      <selection activeCell="A8" sqref="A8"/>
    </sheetView>
  </sheetViews>
  <sheetFormatPr defaultRowHeight="15" x14ac:dyDescent="0.25"/>
  <cols>
    <col min="1" max="1" width="13.7109375" bestFit="1" customWidth="1"/>
    <col min="2" max="2" width="9.85546875" bestFit="1" customWidth="1"/>
    <col min="3" max="4" width="5.42578125" bestFit="1" customWidth="1"/>
    <col min="5" max="5" width="8" bestFit="1" customWidth="1"/>
    <col min="6" max="6" width="4" bestFit="1" customWidth="1"/>
    <col min="7" max="7" width="11.28515625" bestFit="1" customWidth="1"/>
  </cols>
  <sheetData>
    <row r="1" spans="1:3" x14ac:dyDescent="0.25">
      <c r="A1" s="1" t="s">
        <v>0</v>
      </c>
      <c r="B1" t="s">
        <v>65</v>
      </c>
    </row>
    <row r="3" spans="1:3" x14ac:dyDescent="0.25">
      <c r="A3" s="1" t="s">
        <v>65</v>
      </c>
      <c r="B3" s="1" t="s">
        <v>160</v>
      </c>
    </row>
    <row r="4" spans="1:3" x14ac:dyDescent="0.25">
      <c r="A4" s="1" t="s">
        <v>1</v>
      </c>
      <c r="B4" t="s">
        <v>134</v>
      </c>
      <c r="C4" t="s">
        <v>94</v>
      </c>
    </row>
    <row r="5" spans="1:3" x14ac:dyDescent="0.25">
      <c r="A5" s="2" t="s">
        <v>6</v>
      </c>
      <c r="B5" s="22">
        <v>20</v>
      </c>
      <c r="C5" s="22">
        <v>20</v>
      </c>
    </row>
    <row r="6" spans="1:3" x14ac:dyDescent="0.25">
      <c r="A6" s="6" t="s">
        <v>44</v>
      </c>
      <c r="B6" s="22">
        <v>20</v>
      </c>
      <c r="C6" s="22">
        <v>20</v>
      </c>
    </row>
    <row r="7" spans="1:3" x14ac:dyDescent="0.25">
      <c r="A7" s="2" t="s">
        <v>94</v>
      </c>
      <c r="B7" s="22">
        <v>20</v>
      </c>
      <c r="C7" s="22">
        <v>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39326-8E8B-408B-9522-F60515A62423}">
  <sheetPr codeName="Sheet2"/>
  <dimension ref="A1:AI31"/>
  <sheetViews>
    <sheetView workbookViewId="0">
      <selection activeCell="A3" sqref="A3"/>
    </sheetView>
  </sheetViews>
  <sheetFormatPr defaultRowHeight="15" x14ac:dyDescent="0.25"/>
  <cols>
    <col min="1" max="1" width="14" bestFit="1" customWidth="1"/>
    <col min="2" max="2" width="14.85546875" bestFit="1" customWidth="1"/>
    <col min="4" max="4" width="13.7109375" bestFit="1" customWidth="1"/>
    <col min="5" max="5" width="14.85546875" bestFit="1" customWidth="1"/>
    <col min="7" max="7" width="13.7109375" bestFit="1" customWidth="1"/>
    <col min="8" max="8" width="14.85546875" bestFit="1" customWidth="1"/>
    <col min="10" max="10" width="14.85546875" bestFit="1" customWidth="1"/>
    <col min="11" max="11" width="16.28515625" bestFit="1" customWidth="1"/>
    <col min="12" max="12" width="14" bestFit="1" customWidth="1"/>
    <col min="13" max="13" width="9" bestFit="1" customWidth="1"/>
    <col min="14" max="14" width="6.85546875" bestFit="1" customWidth="1"/>
    <col min="15" max="15" width="8.28515625" bestFit="1" customWidth="1"/>
    <col min="16" max="16" width="6.85546875" bestFit="1" customWidth="1"/>
    <col min="17" max="17" width="9.42578125" bestFit="1" customWidth="1"/>
    <col min="18" max="18" width="6.42578125" bestFit="1" customWidth="1"/>
    <col min="19" max="19" width="8.140625" bestFit="1" customWidth="1"/>
    <col min="20" max="21" width="11.28515625" bestFit="1" customWidth="1"/>
    <col min="22" max="22" width="16.7109375" bestFit="1" customWidth="1"/>
    <col min="23" max="23" width="14.85546875" bestFit="1" customWidth="1"/>
    <col min="25" max="25" width="14" bestFit="1" customWidth="1"/>
    <col min="26" max="26" width="10.85546875" bestFit="1" customWidth="1"/>
    <col min="28" max="28" width="14" bestFit="1" customWidth="1"/>
    <col min="29" max="29" width="14.85546875" bestFit="1" customWidth="1"/>
    <col min="31" max="31" width="13.140625" bestFit="1" customWidth="1"/>
    <col min="32" max="32" width="14.85546875" bestFit="1" customWidth="1"/>
    <col min="33" max="33" width="10.85546875" bestFit="1" customWidth="1"/>
    <col min="34" max="34" width="14" bestFit="1" customWidth="1"/>
    <col min="35" max="35" width="12.140625" bestFit="1" customWidth="1"/>
  </cols>
  <sheetData>
    <row r="1" spans="1:35" x14ac:dyDescent="0.25">
      <c r="A1" s="1" t="s">
        <v>0</v>
      </c>
      <c r="B1" t="s">
        <v>3</v>
      </c>
      <c r="D1" s="1" t="s">
        <v>0</v>
      </c>
      <c r="E1" t="s">
        <v>3</v>
      </c>
      <c r="G1" s="1" t="s">
        <v>0</v>
      </c>
      <c r="H1" t="s">
        <v>65</v>
      </c>
      <c r="J1" s="1" t="s">
        <v>0</v>
      </c>
      <c r="K1" t="s">
        <v>3</v>
      </c>
      <c r="V1" s="1" t="s">
        <v>0</v>
      </c>
      <c r="W1" t="s">
        <v>3</v>
      </c>
      <c r="Y1" s="1" t="s">
        <v>132</v>
      </c>
      <c r="Z1" t="s">
        <v>133</v>
      </c>
      <c r="AB1" s="1" t="s">
        <v>91</v>
      </c>
      <c r="AC1" t="s">
        <v>92</v>
      </c>
      <c r="AE1" s="1" t="s">
        <v>91</v>
      </c>
      <c r="AF1" t="s">
        <v>92</v>
      </c>
      <c r="AG1" s="16">
        <f>GETPIVOTDATA("Amount",$AE$1,"Category Type","Income")-GETPIVOTDATA("Amount",$AE$1,"Category Type","Expense")+Transactions!J1</f>
        <v>1444.1399999999994</v>
      </c>
      <c r="AH1" s="1" t="s">
        <v>0</v>
      </c>
      <c r="AI1" t="s">
        <v>3</v>
      </c>
    </row>
    <row r="2" spans="1:35" x14ac:dyDescent="0.25">
      <c r="AA2" s="2"/>
      <c r="AB2" s="2" t="s">
        <v>32</v>
      </c>
      <c r="AC2" s="7">
        <v>2295.02</v>
      </c>
      <c r="AE2" s="2" t="s">
        <v>3</v>
      </c>
      <c r="AF2" s="7">
        <v>4584.3900000000003</v>
      </c>
      <c r="AG2" s="11">
        <f>GETPIVOTDATA("Amount",$AE$1,"Category Type","Income")-GETPIVOTDATA("Amount",$AE$1,"Category Type","Expense")+Transactions!J1</f>
        <v>1444.1399999999994</v>
      </c>
    </row>
    <row r="3" spans="1:35" x14ac:dyDescent="0.25">
      <c r="A3" s="1" t="s">
        <v>91</v>
      </c>
      <c r="B3" t="s">
        <v>92</v>
      </c>
      <c r="D3" s="1" t="s">
        <v>91</v>
      </c>
      <c r="E3" t="s">
        <v>92</v>
      </c>
      <c r="G3" s="1" t="s">
        <v>91</v>
      </c>
      <c r="H3" t="s">
        <v>92</v>
      </c>
      <c r="J3" s="1" t="s">
        <v>92</v>
      </c>
      <c r="K3" s="1" t="s">
        <v>129</v>
      </c>
      <c r="V3" s="1" t="s">
        <v>91</v>
      </c>
      <c r="W3" t="s">
        <v>92</v>
      </c>
      <c r="Y3" s="1" t="s">
        <v>91</v>
      </c>
      <c r="Z3" t="s">
        <v>130</v>
      </c>
      <c r="AA3" s="2"/>
      <c r="AB3" s="2" t="s">
        <v>14</v>
      </c>
      <c r="AC3" s="7">
        <v>884.7</v>
      </c>
      <c r="AE3" s="2" t="s">
        <v>65</v>
      </c>
      <c r="AF3" s="7">
        <v>20</v>
      </c>
      <c r="AG3">
        <v>1498.65</v>
      </c>
      <c r="AH3" s="1" t="s">
        <v>91</v>
      </c>
    </row>
    <row r="4" spans="1:35" x14ac:dyDescent="0.25">
      <c r="A4" s="2" t="s">
        <v>11</v>
      </c>
      <c r="B4" s="3">
        <v>38</v>
      </c>
      <c r="D4" s="2" t="s">
        <v>125</v>
      </c>
      <c r="E4" s="3">
        <v>1274.3200000000002</v>
      </c>
      <c r="G4" s="2" t="s">
        <v>134</v>
      </c>
      <c r="H4" s="3">
        <v>20</v>
      </c>
      <c r="J4" s="1" t="s">
        <v>91</v>
      </c>
      <c r="K4" t="s">
        <v>11</v>
      </c>
      <c r="L4" t="s">
        <v>14</v>
      </c>
      <c r="M4" t="s">
        <v>21</v>
      </c>
      <c r="N4" t="s">
        <v>27</v>
      </c>
      <c r="O4" t="s">
        <v>32</v>
      </c>
      <c r="P4" t="s">
        <v>6</v>
      </c>
      <c r="Q4" t="s">
        <v>93</v>
      </c>
      <c r="R4" t="s">
        <v>56</v>
      </c>
      <c r="S4" t="s">
        <v>59</v>
      </c>
      <c r="T4" t="s">
        <v>124</v>
      </c>
      <c r="V4" s="2" t="s">
        <v>11</v>
      </c>
      <c r="W4" s="7"/>
      <c r="Y4" s="2" t="s">
        <v>69</v>
      </c>
      <c r="Z4" s="7"/>
      <c r="AA4" s="2"/>
      <c r="AB4" s="2" t="s">
        <v>21</v>
      </c>
      <c r="AC4" s="7">
        <v>545.4799999999999</v>
      </c>
      <c r="AE4" s="2" t="s">
        <v>124</v>
      </c>
      <c r="AF4" s="7">
        <v>4604.3900000000003</v>
      </c>
      <c r="AG4" s="23">
        <f>AG1-AG3</f>
        <v>-54.510000000000673</v>
      </c>
      <c r="AH4" s="2" t="s">
        <v>11</v>
      </c>
      <c r="AI4" t="str">
        <f>_xlfn.IFS(NOT(ISBLANK(AH12)),"All Expenses",TRUE,_xlfn.TEXTJOIN(",",1,AH4,AH5,AH6,AH7,AH8,AH9,AH10,AH11,AH12))</f>
        <v>All Expenses</v>
      </c>
    </row>
    <row r="5" spans="1:35" x14ac:dyDescent="0.25">
      <c r="A5" s="2" t="s">
        <v>14</v>
      </c>
      <c r="B5" s="3">
        <v>884.7</v>
      </c>
      <c r="D5" s="2" t="s">
        <v>126</v>
      </c>
      <c r="E5" s="3">
        <v>1563.4299999999996</v>
      </c>
      <c r="G5" s="2" t="s">
        <v>124</v>
      </c>
      <c r="H5" s="3">
        <v>20</v>
      </c>
      <c r="J5" s="2" t="s">
        <v>125</v>
      </c>
      <c r="K5" s="7"/>
      <c r="L5" s="7">
        <v>39.96</v>
      </c>
      <c r="M5" s="7">
        <v>471.35</v>
      </c>
      <c r="N5" s="7">
        <v>102.98</v>
      </c>
      <c r="O5" s="7">
        <v>229.11</v>
      </c>
      <c r="P5" s="7">
        <v>300</v>
      </c>
      <c r="Q5" s="7">
        <v>89.12</v>
      </c>
      <c r="R5" s="7">
        <v>19.100000000000001</v>
      </c>
      <c r="S5" s="7">
        <v>22.7</v>
      </c>
      <c r="T5" s="7">
        <v>1274.32</v>
      </c>
      <c r="V5" s="6" t="s">
        <v>12</v>
      </c>
      <c r="W5" s="7">
        <v>38</v>
      </c>
      <c r="Y5" s="2" t="s">
        <v>11</v>
      </c>
      <c r="Z5" s="7">
        <v>-38</v>
      </c>
      <c r="AA5" s="2"/>
      <c r="AB5" s="2" t="s">
        <v>6</v>
      </c>
      <c r="AC5" s="7">
        <v>530.29999999999995</v>
      </c>
      <c r="AH5" s="2" t="s">
        <v>14</v>
      </c>
    </row>
    <row r="6" spans="1:35" x14ac:dyDescent="0.25">
      <c r="A6" s="2" t="s">
        <v>21</v>
      </c>
      <c r="B6" s="3">
        <v>545.4799999999999</v>
      </c>
      <c r="D6" s="2" t="s">
        <v>127</v>
      </c>
      <c r="E6" s="3">
        <v>454.84000000000003</v>
      </c>
      <c r="J6" s="2" t="s">
        <v>126</v>
      </c>
      <c r="K6" s="7"/>
      <c r="L6" s="7">
        <v>11.959999999999999</v>
      </c>
      <c r="M6" s="7">
        <v>24.67</v>
      </c>
      <c r="N6" s="7"/>
      <c r="O6" s="7">
        <v>1465.9099999999999</v>
      </c>
      <c r="P6" s="7">
        <v>20</v>
      </c>
      <c r="Q6" s="7"/>
      <c r="R6" s="7"/>
      <c r="S6" s="7">
        <v>40.89</v>
      </c>
      <c r="T6" s="7">
        <v>1563.43</v>
      </c>
      <c r="V6" s="2" t="s">
        <v>14</v>
      </c>
      <c r="W6" s="7"/>
      <c r="Y6" s="2" t="s">
        <v>14</v>
      </c>
      <c r="Z6" s="7">
        <v>-884.7</v>
      </c>
      <c r="AA6" s="2"/>
      <c r="AB6" s="2" t="s">
        <v>93</v>
      </c>
      <c r="AC6" s="7">
        <v>125.22000000000001</v>
      </c>
      <c r="AH6" s="2" t="s">
        <v>21</v>
      </c>
    </row>
    <row r="7" spans="1:35" x14ac:dyDescent="0.25">
      <c r="A7" s="2" t="s">
        <v>27</v>
      </c>
      <c r="B7" s="3">
        <v>102.98</v>
      </c>
      <c r="D7" s="2" t="s">
        <v>128</v>
      </c>
      <c r="E7" s="3">
        <v>976.03</v>
      </c>
      <c r="J7" s="2" t="s">
        <v>127</v>
      </c>
      <c r="K7" s="7"/>
      <c r="L7" s="7">
        <v>194.84</v>
      </c>
      <c r="M7" s="7"/>
      <c r="N7" s="7"/>
      <c r="O7" s="7">
        <v>200</v>
      </c>
      <c r="P7" s="7">
        <v>60</v>
      </c>
      <c r="Q7" s="7"/>
      <c r="R7" s="7"/>
      <c r="S7" s="7"/>
      <c r="T7" s="7">
        <v>454.84000000000003</v>
      </c>
      <c r="V7" s="6" t="s">
        <v>113</v>
      </c>
      <c r="W7" s="7">
        <v>328.64</v>
      </c>
      <c r="Y7" s="2" t="s">
        <v>21</v>
      </c>
      <c r="Z7" s="7">
        <v>-545.4799999999999</v>
      </c>
      <c r="AA7" s="2"/>
      <c r="AB7" s="2" t="s">
        <v>124</v>
      </c>
      <c r="AC7" s="7">
        <v>4380.72</v>
      </c>
      <c r="AH7" s="2" t="s">
        <v>27</v>
      </c>
    </row>
    <row r="8" spans="1:35" x14ac:dyDescent="0.25">
      <c r="A8" s="2" t="s">
        <v>32</v>
      </c>
      <c r="B8" s="3">
        <v>2295.02</v>
      </c>
      <c r="D8" s="2" t="s">
        <v>134</v>
      </c>
      <c r="E8" s="3">
        <v>315.77</v>
      </c>
      <c r="J8" s="2" t="s">
        <v>128</v>
      </c>
      <c r="K8" s="7">
        <v>38</v>
      </c>
      <c r="L8" s="7">
        <v>555.07999999999993</v>
      </c>
      <c r="M8" s="7">
        <v>36.549999999999997</v>
      </c>
      <c r="N8" s="7"/>
      <c r="O8" s="7">
        <v>200</v>
      </c>
      <c r="P8" s="7">
        <v>110.30000000000001</v>
      </c>
      <c r="Q8" s="7">
        <v>36.1</v>
      </c>
      <c r="R8" s="7"/>
      <c r="S8" s="7"/>
      <c r="T8" s="7">
        <v>976.02999999999986</v>
      </c>
      <c r="V8" s="6" t="s">
        <v>19</v>
      </c>
      <c r="W8" s="7">
        <v>100.52000000000001</v>
      </c>
      <c r="Y8" s="2" t="s">
        <v>27</v>
      </c>
      <c r="Z8" s="7">
        <v>-102.98</v>
      </c>
      <c r="AA8" s="2"/>
      <c r="AH8" s="2" t="s">
        <v>32</v>
      </c>
    </row>
    <row r="9" spans="1:35" x14ac:dyDescent="0.25">
      <c r="A9" s="2" t="s">
        <v>6</v>
      </c>
      <c r="B9" s="3">
        <v>510.29999999999995</v>
      </c>
      <c r="D9" s="2" t="s">
        <v>124</v>
      </c>
      <c r="E9" s="3">
        <v>4584.3899999999994</v>
      </c>
      <c r="J9" s="2" t="s">
        <v>134</v>
      </c>
      <c r="K9" s="7"/>
      <c r="L9" s="7">
        <v>82.86</v>
      </c>
      <c r="M9" s="7">
        <v>12.91</v>
      </c>
      <c r="N9" s="7"/>
      <c r="O9" s="7">
        <v>200</v>
      </c>
      <c r="P9" s="7">
        <v>20</v>
      </c>
      <c r="Q9" s="7"/>
      <c r="R9" s="7"/>
      <c r="S9" s="7"/>
      <c r="T9" s="7">
        <v>315.77</v>
      </c>
      <c r="V9" s="6" t="s">
        <v>15</v>
      </c>
      <c r="W9" s="7">
        <v>455.53999999999996</v>
      </c>
      <c r="Y9" s="2" t="s">
        <v>32</v>
      </c>
      <c r="Z9" s="7">
        <v>-2295.02</v>
      </c>
      <c r="AA9" s="2" t="str">
        <f>"Expenses by Category - "&amp;_xlfn.IFS(Z1="(All)","YTD",Z1="(Multiple Items)","Multiple Periods",TRUE,Z1)</f>
        <v>Expenses by Category - YTD</v>
      </c>
      <c r="AH9" s="2" t="s">
        <v>6</v>
      </c>
    </row>
    <row r="10" spans="1:35" x14ac:dyDescent="0.25">
      <c r="A10" s="2" t="s">
        <v>93</v>
      </c>
      <c r="B10" s="3">
        <v>125.22000000000001</v>
      </c>
      <c r="J10" s="2" t="s">
        <v>124</v>
      </c>
      <c r="K10" s="7">
        <v>38</v>
      </c>
      <c r="L10" s="7">
        <v>884.69999999999993</v>
      </c>
      <c r="M10" s="7">
        <v>545.48</v>
      </c>
      <c r="N10" s="7">
        <v>102.98</v>
      </c>
      <c r="O10" s="7">
        <v>2295.02</v>
      </c>
      <c r="P10" s="7">
        <v>510.3</v>
      </c>
      <c r="Q10" s="7">
        <v>125.22</v>
      </c>
      <c r="R10" s="7">
        <v>19.100000000000001</v>
      </c>
      <c r="S10" s="7">
        <v>63.59</v>
      </c>
      <c r="T10" s="7">
        <v>4584.3899999999994</v>
      </c>
      <c r="V10" s="2" t="s">
        <v>21</v>
      </c>
      <c r="W10" s="7"/>
      <c r="Y10" s="2" t="s">
        <v>6</v>
      </c>
      <c r="Z10" s="7">
        <v>-490.29999999999995</v>
      </c>
      <c r="AA10" s="2"/>
      <c r="AH10" s="2" t="s">
        <v>93</v>
      </c>
    </row>
    <row r="11" spans="1:35" x14ac:dyDescent="0.25">
      <c r="A11" s="2" t="s">
        <v>56</v>
      </c>
      <c r="B11" s="3">
        <v>19.100000000000001</v>
      </c>
      <c r="V11" s="6" t="s">
        <v>22</v>
      </c>
      <c r="W11" s="7">
        <v>333.85</v>
      </c>
      <c r="Y11" s="2" t="s">
        <v>93</v>
      </c>
      <c r="Z11" s="7">
        <v>-125.22000000000001</v>
      </c>
      <c r="AA11" s="2"/>
      <c r="AH11" s="2" t="s">
        <v>56</v>
      </c>
    </row>
    <row r="12" spans="1:35" x14ac:dyDescent="0.25">
      <c r="A12" s="2" t="s">
        <v>59</v>
      </c>
      <c r="B12" s="3">
        <v>63.59</v>
      </c>
      <c r="V12" s="6" t="s">
        <v>23</v>
      </c>
      <c r="W12" s="7">
        <v>211.63</v>
      </c>
      <c r="Y12" s="2" t="s">
        <v>56</v>
      </c>
      <c r="Z12" s="7">
        <v>-19.100000000000001</v>
      </c>
      <c r="AA12" s="5"/>
      <c r="AH12" s="2" t="s">
        <v>59</v>
      </c>
    </row>
    <row r="13" spans="1:35" x14ac:dyDescent="0.25">
      <c r="A13" s="2" t="s">
        <v>94</v>
      </c>
      <c r="B13" s="3">
        <v>4584.3900000000003</v>
      </c>
      <c r="V13" s="2" t="s">
        <v>27</v>
      </c>
      <c r="W13" s="7"/>
      <c r="Y13" s="2" t="s">
        <v>59</v>
      </c>
      <c r="Z13" s="7">
        <v>-63.59</v>
      </c>
    </row>
    <row r="14" spans="1:35" x14ac:dyDescent="0.25">
      <c r="V14" s="6" t="s">
        <v>29</v>
      </c>
      <c r="W14" s="7">
        <v>102.98</v>
      </c>
      <c r="Y14" s="2" t="s">
        <v>94</v>
      </c>
      <c r="Z14" s="7">
        <v>-4564.3900000000003</v>
      </c>
    </row>
    <row r="15" spans="1:35" x14ac:dyDescent="0.25">
      <c r="V15" s="2" t="s">
        <v>32</v>
      </c>
      <c r="W15" s="7"/>
    </row>
    <row r="16" spans="1:35" x14ac:dyDescent="0.25">
      <c r="V16" s="6" t="s">
        <v>33</v>
      </c>
      <c r="W16" s="7">
        <v>592.42000000000007</v>
      </c>
    </row>
    <row r="17" spans="22:26" x14ac:dyDescent="0.25">
      <c r="V17" s="6" t="s">
        <v>34</v>
      </c>
      <c r="W17" s="7">
        <v>1702.6</v>
      </c>
      <c r="X17" t="str">
        <f>AI4&amp;" - "&amp;_xlfn.IFS(Z1="(All)","YTD",Z1="(Multiple Items)","Multiple Periods",TRUE,Z1)</f>
        <v>All Expenses - YTD</v>
      </c>
    </row>
    <row r="18" spans="22:26" x14ac:dyDescent="0.25">
      <c r="V18" s="2" t="s">
        <v>6</v>
      </c>
      <c r="W18" s="7"/>
    </row>
    <row r="19" spans="22:26" x14ac:dyDescent="0.25">
      <c r="V19" s="6" t="s">
        <v>43</v>
      </c>
      <c r="W19" s="7">
        <v>60</v>
      </c>
      <c r="Y19" s="6"/>
      <c r="Z19" s="7"/>
    </row>
    <row r="20" spans="22:26" x14ac:dyDescent="0.25">
      <c r="V20" s="6" t="s">
        <v>44</v>
      </c>
      <c r="W20" s="7">
        <v>55.4</v>
      </c>
      <c r="Y20" s="6"/>
      <c r="Z20" s="7"/>
    </row>
    <row r="21" spans="22:26" x14ac:dyDescent="0.25">
      <c r="V21" s="6" t="s">
        <v>46</v>
      </c>
      <c r="W21" s="7">
        <v>370</v>
      </c>
      <c r="Y21" s="6"/>
      <c r="Z21" s="7"/>
    </row>
    <row r="22" spans="22:26" x14ac:dyDescent="0.25">
      <c r="V22" s="6" t="s">
        <v>45</v>
      </c>
      <c r="W22" s="7">
        <v>24.9</v>
      </c>
      <c r="Y22" s="8"/>
      <c r="Z22" s="9"/>
    </row>
    <row r="23" spans="22:26" x14ac:dyDescent="0.25">
      <c r="V23" s="2" t="s">
        <v>93</v>
      </c>
      <c r="W23" s="7"/>
      <c r="Y23" s="6"/>
      <c r="Z23" s="7"/>
    </row>
    <row r="24" spans="22:26" x14ac:dyDescent="0.25">
      <c r="V24" s="6" t="s">
        <v>117</v>
      </c>
      <c r="W24" s="7">
        <v>58.52</v>
      </c>
      <c r="Y24" s="6"/>
      <c r="Z24" s="7"/>
    </row>
    <row r="25" spans="22:26" x14ac:dyDescent="0.25">
      <c r="V25" s="6" t="s">
        <v>52</v>
      </c>
      <c r="W25" s="7">
        <v>34.9</v>
      </c>
      <c r="Y25" s="6"/>
      <c r="Z25" s="7"/>
    </row>
    <row r="26" spans="22:26" x14ac:dyDescent="0.25">
      <c r="V26" s="6" t="s">
        <v>108</v>
      </c>
      <c r="W26" s="7">
        <v>30.599999999999998</v>
      </c>
      <c r="Y26" s="6"/>
      <c r="Z26" s="7"/>
    </row>
    <row r="27" spans="22:26" x14ac:dyDescent="0.25">
      <c r="V27" s="6" t="s">
        <v>55</v>
      </c>
      <c r="W27" s="7">
        <v>1.2</v>
      </c>
      <c r="Y27" s="8"/>
      <c r="Z27" s="9"/>
    </row>
    <row r="28" spans="22:26" x14ac:dyDescent="0.25">
      <c r="V28" s="2" t="s">
        <v>56</v>
      </c>
      <c r="W28" s="7"/>
      <c r="Y28" s="6"/>
      <c r="Z28" s="7"/>
    </row>
    <row r="29" spans="22:26" x14ac:dyDescent="0.25">
      <c r="V29" s="6" t="s">
        <v>48</v>
      </c>
      <c r="W29" s="7">
        <v>19.100000000000001</v>
      </c>
      <c r="Y29" s="8"/>
      <c r="Z29" s="9"/>
    </row>
    <row r="30" spans="22:26" x14ac:dyDescent="0.25">
      <c r="V30" s="2" t="s">
        <v>59</v>
      </c>
      <c r="W30" s="7"/>
      <c r="Y30" s="6"/>
      <c r="Z30" s="7"/>
    </row>
    <row r="31" spans="22:26" x14ac:dyDescent="0.25">
      <c r="V31" s="6" t="s">
        <v>60</v>
      </c>
      <c r="W31" s="7">
        <v>63.59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91E79-1B3C-459E-AD58-8B1233916A17}">
  <sheetPr codeName="Sheet3"/>
  <dimension ref="A1:K111"/>
  <sheetViews>
    <sheetView workbookViewId="0">
      <pane ySplit="1" topLeftCell="A80" activePane="bottomLeft" state="frozen"/>
      <selection pane="bottomLeft" activeCell="J93" sqref="J93"/>
    </sheetView>
  </sheetViews>
  <sheetFormatPr defaultRowHeight="15" x14ac:dyDescent="0.25"/>
  <cols>
    <col min="1" max="1" width="10.7109375" style="28" bestFit="1" customWidth="1"/>
    <col min="2" max="2" width="77.42578125" style="26" bestFit="1" customWidth="1"/>
    <col min="3" max="3" width="10.42578125" style="27" bestFit="1" customWidth="1"/>
    <col min="4" max="4" width="8.7109375" style="27" bestFit="1" customWidth="1"/>
    <col min="5" max="5" width="16" style="26" bestFit="1" customWidth="1"/>
    <col min="6" max="6" width="14" style="29" bestFit="1" customWidth="1"/>
    <col min="7" max="7" width="15.140625" style="26" bestFit="1" customWidth="1"/>
    <col min="9" max="9" width="15.7109375" bestFit="1" customWidth="1"/>
    <col min="10" max="11" width="10.85546875" bestFit="1" customWidth="1"/>
  </cols>
  <sheetData>
    <row r="1" spans="1:11" ht="15.75" thickBot="1" x14ac:dyDescent="0.3">
      <c r="A1" s="30" t="s">
        <v>73</v>
      </c>
      <c r="B1" t="s">
        <v>74</v>
      </c>
      <c r="C1" s="31" t="s">
        <v>75</v>
      </c>
      <c r="D1" s="31" t="s">
        <v>76</v>
      </c>
      <c r="E1" t="s">
        <v>0</v>
      </c>
      <c r="F1" t="s">
        <v>1</v>
      </c>
      <c r="G1" t="s">
        <v>2</v>
      </c>
      <c r="I1" s="14" t="s">
        <v>131</v>
      </c>
      <c r="J1" s="15">
        <v>6008.53</v>
      </c>
      <c r="K1" s="23"/>
    </row>
    <row r="2" spans="1:11" x14ac:dyDescent="0.25">
      <c r="A2" s="30">
        <v>44715</v>
      </c>
      <c r="B2" t="s">
        <v>77</v>
      </c>
      <c r="C2" s="31">
        <v>8.1</v>
      </c>
      <c r="D2" s="31">
        <f>IF(TableTransactions[[#This Row],[Category Type]]="Expense",-TableTransactions[[#This Row],[Amount]],TableTransactions[[#This Row],[Amount]])</f>
        <v>-8.1</v>
      </c>
      <c r="E2" t="s">
        <v>3</v>
      </c>
      <c r="F2" t="s">
        <v>93</v>
      </c>
      <c r="G2" t="s">
        <v>108</v>
      </c>
    </row>
    <row r="3" spans="1:11" x14ac:dyDescent="0.25">
      <c r="A3" s="30">
        <v>44715</v>
      </c>
      <c r="B3" t="s">
        <v>77</v>
      </c>
      <c r="C3" s="31">
        <v>7.3</v>
      </c>
      <c r="D3" s="31">
        <f>IF(TableTransactions[[#This Row],[Category Type]]="Expense",-TableTransactions[[#This Row],[Amount]],TableTransactions[[#This Row],[Amount]])</f>
        <v>-7.3</v>
      </c>
      <c r="E3" t="s">
        <v>3</v>
      </c>
      <c r="F3" t="s">
        <v>93</v>
      </c>
      <c r="G3" t="s">
        <v>108</v>
      </c>
    </row>
    <row r="4" spans="1:11" x14ac:dyDescent="0.25">
      <c r="A4" s="30">
        <v>44718</v>
      </c>
      <c r="B4" t="s">
        <v>135</v>
      </c>
      <c r="C4" s="31">
        <v>58.52</v>
      </c>
      <c r="D4" s="31">
        <f>IF(TableTransactions[[#This Row],[Category Type]]="Expense",-TableTransactions[[#This Row],[Amount]],TableTransactions[[#This Row],[Amount]])</f>
        <v>-58.52</v>
      </c>
      <c r="E4" t="s">
        <v>3</v>
      </c>
      <c r="F4" t="s">
        <v>93</v>
      </c>
      <c r="G4" t="s">
        <v>117</v>
      </c>
    </row>
    <row r="5" spans="1:11" x14ac:dyDescent="0.25">
      <c r="A5" s="30">
        <v>44722</v>
      </c>
      <c r="B5" t="s">
        <v>22</v>
      </c>
      <c r="C5" s="31">
        <v>138.74</v>
      </c>
      <c r="D5" s="31">
        <f>IF(TableTransactions[[#This Row],[Category Type]]="Expense",-TableTransactions[[#This Row],[Amount]],TableTransactions[[#This Row],[Amount]])</f>
        <v>-138.74</v>
      </c>
      <c r="E5" t="s">
        <v>3</v>
      </c>
      <c r="F5" t="s">
        <v>21</v>
      </c>
      <c r="G5" t="s">
        <v>22</v>
      </c>
    </row>
    <row r="6" spans="1:11" x14ac:dyDescent="0.25">
      <c r="A6" s="30">
        <v>44723</v>
      </c>
      <c r="B6" t="s">
        <v>78</v>
      </c>
      <c r="C6" s="31">
        <v>50</v>
      </c>
      <c r="D6" s="31">
        <f>IF(TableTransactions[[#This Row],[Category Type]]="Expense",-TableTransactions[[#This Row],[Amount]],TableTransactions[[#This Row],[Amount]])</f>
        <v>-50</v>
      </c>
      <c r="E6" t="s">
        <v>3</v>
      </c>
      <c r="F6" t="s">
        <v>6</v>
      </c>
      <c r="G6" t="s">
        <v>46</v>
      </c>
    </row>
    <row r="7" spans="1:11" x14ac:dyDescent="0.25">
      <c r="A7" s="30">
        <v>44723</v>
      </c>
      <c r="B7" t="s">
        <v>136</v>
      </c>
      <c r="C7" s="31">
        <v>22.7</v>
      </c>
      <c r="D7" s="31">
        <f>IF(TableTransactions[[#This Row],[Category Type]]="Expense",-TableTransactions[[#This Row],[Amount]],TableTransactions[[#This Row],[Amount]])</f>
        <v>-22.7</v>
      </c>
      <c r="E7" t="s">
        <v>3</v>
      </c>
      <c r="F7" t="s">
        <v>59</v>
      </c>
      <c r="G7" t="s">
        <v>60</v>
      </c>
    </row>
    <row r="8" spans="1:11" x14ac:dyDescent="0.25">
      <c r="A8" s="30">
        <v>44725</v>
      </c>
      <c r="B8" t="s">
        <v>79</v>
      </c>
      <c r="C8" s="31">
        <v>68.8</v>
      </c>
      <c r="D8" s="31">
        <f>IF(TableTransactions[[#This Row],[Category Type]]="Expense",-TableTransactions[[#This Row],[Amount]],TableTransactions[[#This Row],[Amount]])</f>
        <v>-68.8</v>
      </c>
      <c r="E8" t="s">
        <v>3</v>
      </c>
      <c r="F8" t="s">
        <v>21</v>
      </c>
      <c r="G8" t="s">
        <v>23</v>
      </c>
    </row>
    <row r="9" spans="1:11" x14ac:dyDescent="0.25">
      <c r="A9" s="30">
        <v>44728</v>
      </c>
      <c r="B9" t="s">
        <v>78</v>
      </c>
      <c r="C9" s="31">
        <v>50</v>
      </c>
      <c r="D9" s="31">
        <f>IF(TableTransactions[[#This Row],[Category Type]]="Expense",-TableTransactions[[#This Row],[Amount]],TableTransactions[[#This Row],[Amount]])</f>
        <v>-50</v>
      </c>
      <c r="E9" t="s">
        <v>3</v>
      </c>
      <c r="F9" t="s">
        <v>6</v>
      </c>
      <c r="G9" t="s">
        <v>46</v>
      </c>
    </row>
    <row r="10" spans="1:11" x14ac:dyDescent="0.25">
      <c r="A10" s="30">
        <v>44728</v>
      </c>
      <c r="B10" t="s">
        <v>80</v>
      </c>
      <c r="C10" s="31">
        <v>46.7</v>
      </c>
      <c r="D10" s="31">
        <f>IF(TableTransactions[[#This Row],[Category Type]]="Expense",-TableTransactions[[#This Row],[Amount]],TableTransactions[[#This Row],[Amount]])</f>
        <v>-46.7</v>
      </c>
      <c r="E10" t="s">
        <v>3</v>
      </c>
      <c r="F10" t="s">
        <v>21</v>
      </c>
      <c r="G10" t="s">
        <v>23</v>
      </c>
    </row>
    <row r="11" spans="1:11" x14ac:dyDescent="0.25">
      <c r="A11" s="30">
        <v>44729</v>
      </c>
      <c r="B11" t="s">
        <v>81</v>
      </c>
      <c r="C11" s="31">
        <v>13.1</v>
      </c>
      <c r="D11" s="31">
        <f>IF(TableTransactions[[#This Row],[Category Type]]="Expense",-TableTransactions[[#This Row],[Amount]],TableTransactions[[#This Row],[Amount]])</f>
        <v>-13.1</v>
      </c>
      <c r="E11" t="s">
        <v>3</v>
      </c>
      <c r="F11" t="s">
        <v>56</v>
      </c>
      <c r="G11" t="s">
        <v>48</v>
      </c>
    </row>
    <row r="12" spans="1:11" x14ac:dyDescent="0.25">
      <c r="A12" s="30">
        <v>44729</v>
      </c>
      <c r="B12" t="s">
        <v>77</v>
      </c>
      <c r="C12" s="31">
        <v>15.2</v>
      </c>
      <c r="D12" s="31">
        <f>IF(TableTransactions[[#This Row],[Category Type]]="Expense",-TableTransactions[[#This Row],[Amount]],TableTransactions[[#This Row],[Amount]])</f>
        <v>-15.2</v>
      </c>
      <c r="E12" t="s">
        <v>3</v>
      </c>
      <c r="F12" t="s">
        <v>93</v>
      </c>
      <c r="G12" t="s">
        <v>108</v>
      </c>
    </row>
    <row r="13" spans="1:11" x14ac:dyDescent="0.25">
      <c r="A13" s="30">
        <v>44729</v>
      </c>
      <c r="B13" t="s">
        <v>82</v>
      </c>
      <c r="C13" s="31">
        <v>3.99</v>
      </c>
      <c r="D13" s="31">
        <f>IF(TableTransactions[[#This Row],[Category Type]]="Expense",-TableTransactions[[#This Row],[Amount]],TableTransactions[[#This Row],[Amount]])</f>
        <v>-3.99</v>
      </c>
      <c r="E13" t="s">
        <v>3</v>
      </c>
      <c r="F13" t="s">
        <v>14</v>
      </c>
      <c r="G13" t="s">
        <v>15</v>
      </c>
    </row>
    <row r="14" spans="1:11" x14ac:dyDescent="0.25">
      <c r="A14" s="30">
        <v>44729</v>
      </c>
      <c r="B14" t="s">
        <v>152</v>
      </c>
      <c r="C14" s="31">
        <v>12.5</v>
      </c>
      <c r="D14" s="31">
        <f>IF(TableTransactions[[#This Row],[Category Type]]="Expense",-TableTransactions[[#This Row],[Amount]],TableTransactions[[#This Row],[Amount]])</f>
        <v>-12.5</v>
      </c>
      <c r="E14" t="s">
        <v>3</v>
      </c>
      <c r="F14" t="s">
        <v>21</v>
      </c>
      <c r="G14" t="s">
        <v>23</v>
      </c>
    </row>
    <row r="15" spans="1:11" x14ac:dyDescent="0.25">
      <c r="A15" s="30">
        <v>44729</v>
      </c>
      <c r="B15" t="s">
        <v>83</v>
      </c>
      <c r="C15" s="31">
        <v>8</v>
      </c>
      <c r="D15" s="31">
        <f>IF(TableTransactions[[#This Row],[Category Type]]="Expense",-TableTransactions[[#This Row],[Amount]],TableTransactions[[#This Row],[Amount]])</f>
        <v>-8</v>
      </c>
      <c r="E15" t="s">
        <v>3</v>
      </c>
      <c r="F15" t="s">
        <v>21</v>
      </c>
      <c r="G15" t="s">
        <v>23</v>
      </c>
    </row>
    <row r="16" spans="1:11" x14ac:dyDescent="0.25">
      <c r="A16" s="30">
        <v>44729</v>
      </c>
      <c r="B16" t="s">
        <v>83</v>
      </c>
      <c r="C16" s="31">
        <v>6</v>
      </c>
      <c r="D16" s="31">
        <f>IF(TableTransactions[[#This Row],[Category Type]]="Expense",-TableTransactions[[#This Row],[Amount]],TableTransactions[[#This Row],[Amount]])</f>
        <v>-6</v>
      </c>
      <c r="E16" t="s">
        <v>3</v>
      </c>
      <c r="F16" t="s">
        <v>21</v>
      </c>
      <c r="G16" t="s">
        <v>23</v>
      </c>
    </row>
    <row r="17" spans="1:7" x14ac:dyDescent="0.25">
      <c r="A17" s="30">
        <v>44729</v>
      </c>
      <c r="B17" t="s">
        <v>22</v>
      </c>
      <c r="C17" s="31">
        <v>60</v>
      </c>
      <c r="D17" s="31">
        <f>IF(TableTransactions[[#This Row],[Category Type]]="Expense",-TableTransactions[[#This Row],[Amount]],TableTransactions[[#This Row],[Amount]])</f>
        <v>-60</v>
      </c>
      <c r="E17" t="s">
        <v>3</v>
      </c>
      <c r="F17" t="s">
        <v>21</v>
      </c>
      <c r="G17" t="s">
        <v>22</v>
      </c>
    </row>
    <row r="18" spans="1:7" x14ac:dyDescent="0.25">
      <c r="A18" s="30">
        <v>44730</v>
      </c>
      <c r="B18" t="s">
        <v>84</v>
      </c>
      <c r="C18" s="31">
        <v>229.11</v>
      </c>
      <c r="D18" s="31">
        <f>IF(TableTransactions[[#This Row],[Category Type]]="Expense",-TableTransactions[[#This Row],[Amount]],TableTransactions[[#This Row],[Amount]])</f>
        <v>-229.11</v>
      </c>
      <c r="E18" t="s">
        <v>3</v>
      </c>
      <c r="F18" t="s">
        <v>32</v>
      </c>
      <c r="G18" t="s">
        <v>33</v>
      </c>
    </row>
    <row r="19" spans="1:7" x14ac:dyDescent="0.25">
      <c r="A19" s="30">
        <v>44732</v>
      </c>
      <c r="B19" t="s">
        <v>85</v>
      </c>
      <c r="C19" s="31">
        <v>6</v>
      </c>
      <c r="D19" s="31">
        <f>IF(TableTransactions[[#This Row],[Category Type]]="Expense",-TableTransactions[[#This Row],[Amount]],TableTransactions[[#This Row],[Amount]])</f>
        <v>-6</v>
      </c>
      <c r="E19" t="s">
        <v>3</v>
      </c>
      <c r="F19" t="s">
        <v>56</v>
      </c>
      <c r="G19" t="s">
        <v>48</v>
      </c>
    </row>
    <row r="20" spans="1:7" x14ac:dyDescent="0.25">
      <c r="A20" s="30">
        <v>44732</v>
      </c>
      <c r="B20" t="s">
        <v>137</v>
      </c>
      <c r="C20" s="31">
        <v>35.97</v>
      </c>
      <c r="D20" s="31">
        <f>IF(TableTransactions[[#This Row],[Category Type]]="Expense",-TableTransactions[[#This Row],[Amount]],TableTransactions[[#This Row],[Amount]])</f>
        <v>-35.97</v>
      </c>
      <c r="E20" t="s">
        <v>3</v>
      </c>
      <c r="F20" t="s">
        <v>14</v>
      </c>
      <c r="G20" t="s">
        <v>15</v>
      </c>
    </row>
    <row r="21" spans="1:7" x14ac:dyDescent="0.25">
      <c r="A21" s="30">
        <v>44733</v>
      </c>
      <c r="B21" t="s">
        <v>153</v>
      </c>
      <c r="C21" s="31">
        <v>35</v>
      </c>
      <c r="D21" s="31">
        <f>IF(TableTransactions[[#This Row],[Category Type]]="Expense",-TableTransactions[[#This Row],[Amount]],TableTransactions[[#This Row],[Amount]])</f>
        <v>-35</v>
      </c>
      <c r="E21" t="s">
        <v>3</v>
      </c>
      <c r="F21" t="s">
        <v>21</v>
      </c>
      <c r="G21" t="s">
        <v>23</v>
      </c>
    </row>
    <row r="22" spans="1:7" x14ac:dyDescent="0.25">
      <c r="A22" s="30">
        <v>44733</v>
      </c>
      <c r="B22" t="s">
        <v>86</v>
      </c>
      <c r="C22" s="31">
        <v>102.98</v>
      </c>
      <c r="D22" s="31">
        <f>IF(TableTransactions[[#This Row],[Category Type]]="Expense",-TableTransactions[[#This Row],[Amount]],TableTransactions[[#This Row],[Amount]])</f>
        <v>-102.98</v>
      </c>
      <c r="E22" t="s">
        <v>3</v>
      </c>
      <c r="F22" t="s">
        <v>27</v>
      </c>
      <c r="G22" t="s">
        <v>29</v>
      </c>
    </row>
    <row r="23" spans="1:7" x14ac:dyDescent="0.25">
      <c r="A23" s="30">
        <v>44734</v>
      </c>
      <c r="B23" t="s">
        <v>22</v>
      </c>
      <c r="C23" s="31">
        <v>5.98</v>
      </c>
      <c r="D23" s="31">
        <f>IF(TableTransactions[[#This Row],[Category Type]]="Expense",-TableTransactions[[#This Row],[Amount]],TableTransactions[[#This Row],[Amount]])</f>
        <v>-5.98</v>
      </c>
      <c r="E23" t="s">
        <v>3</v>
      </c>
      <c r="F23" t="s">
        <v>21</v>
      </c>
      <c r="G23" t="s">
        <v>22</v>
      </c>
    </row>
    <row r="24" spans="1:7" x14ac:dyDescent="0.25">
      <c r="A24" s="30">
        <v>44734</v>
      </c>
      <c r="B24" t="s">
        <v>78</v>
      </c>
      <c r="C24" s="31">
        <v>200</v>
      </c>
      <c r="D24" s="31">
        <f>IF(TableTransactions[[#This Row],[Category Type]]="Expense",-TableTransactions[[#This Row],[Amount]],TableTransactions[[#This Row],[Amount]])</f>
        <v>-200</v>
      </c>
      <c r="E24" t="s">
        <v>3</v>
      </c>
      <c r="F24" t="s">
        <v>6</v>
      </c>
      <c r="G24" t="s">
        <v>46</v>
      </c>
    </row>
    <row r="25" spans="1:7" x14ac:dyDescent="0.25">
      <c r="A25" s="30">
        <v>44736</v>
      </c>
      <c r="B25" t="s">
        <v>22</v>
      </c>
      <c r="C25" s="31">
        <v>89.63</v>
      </c>
      <c r="D25" s="31">
        <f>IF(TableTransactions[[#This Row],[Category Type]]="Expense",-TableTransactions[[#This Row],[Amount]],TableTransactions[[#This Row],[Amount]])</f>
        <v>-89.63</v>
      </c>
      <c r="E25" t="s">
        <v>3</v>
      </c>
      <c r="F25" t="s">
        <v>21</v>
      </c>
      <c r="G25" t="s">
        <v>22</v>
      </c>
    </row>
    <row r="26" spans="1:7" x14ac:dyDescent="0.25">
      <c r="A26" s="30">
        <v>44743</v>
      </c>
      <c r="B26" t="s">
        <v>138</v>
      </c>
      <c r="C26" s="31">
        <v>902.6</v>
      </c>
      <c r="D26" s="31">
        <f>IF(TableTransactions[[#This Row],[Category Type]]="Expense",-TableTransactions[[#This Row],[Amount]],TableTransactions[[#This Row],[Amount]])</f>
        <v>-902.6</v>
      </c>
      <c r="E26" t="s">
        <v>3</v>
      </c>
      <c r="F26" t="s">
        <v>32</v>
      </c>
      <c r="G26" t="s">
        <v>34</v>
      </c>
    </row>
    <row r="27" spans="1:7" x14ac:dyDescent="0.25">
      <c r="A27" s="30">
        <v>44745</v>
      </c>
      <c r="B27" t="s">
        <v>138</v>
      </c>
      <c r="C27" s="31">
        <v>200</v>
      </c>
      <c r="D27" s="31">
        <f>IF(TableTransactions[[#This Row],[Category Type]]="Expense",-TableTransactions[[#This Row],[Amount]],TableTransactions[[#This Row],[Amount]])</f>
        <v>-200</v>
      </c>
      <c r="E27" t="s">
        <v>3</v>
      </c>
      <c r="F27" t="s">
        <v>32</v>
      </c>
      <c r="G27" t="s">
        <v>34</v>
      </c>
    </row>
    <row r="28" spans="1:7" x14ac:dyDescent="0.25">
      <c r="A28" s="30">
        <v>44746</v>
      </c>
      <c r="B28" t="s">
        <v>78</v>
      </c>
      <c r="C28" s="31">
        <v>20</v>
      </c>
      <c r="D28" s="31">
        <f>IF(TableTransactions[[#This Row],[Category Type]]="Expense",-TableTransactions[[#This Row],[Amount]],TableTransactions[[#This Row],[Amount]])</f>
        <v>-20</v>
      </c>
      <c r="E28" t="s">
        <v>3</v>
      </c>
      <c r="F28" t="s">
        <v>6</v>
      </c>
      <c r="G28" t="s">
        <v>46</v>
      </c>
    </row>
    <row r="29" spans="1:7" x14ac:dyDescent="0.25">
      <c r="A29" s="30">
        <v>44748</v>
      </c>
      <c r="B29" t="s">
        <v>154</v>
      </c>
      <c r="C29" s="31">
        <v>19.98</v>
      </c>
      <c r="D29" s="31">
        <f>IF(TableTransactions[[#This Row],[Category Type]]="Expense",-TableTransactions[[#This Row],[Amount]],TableTransactions[[#This Row],[Amount]])</f>
        <v>-19.98</v>
      </c>
      <c r="E29" t="s">
        <v>3</v>
      </c>
      <c r="F29" t="s">
        <v>32</v>
      </c>
      <c r="G29" t="s">
        <v>33</v>
      </c>
    </row>
    <row r="30" spans="1:7" x14ac:dyDescent="0.25">
      <c r="A30" s="30">
        <v>44749</v>
      </c>
      <c r="B30" t="s">
        <v>139</v>
      </c>
      <c r="C30" s="31">
        <v>4.8499999999999996</v>
      </c>
      <c r="D30" s="31">
        <f>IF(TableTransactions[[#This Row],[Category Type]]="Expense",-TableTransactions[[#This Row],[Amount]],TableTransactions[[#This Row],[Amount]])</f>
        <v>-4.8499999999999996</v>
      </c>
      <c r="E30" t="s">
        <v>3</v>
      </c>
      <c r="F30" t="s">
        <v>14</v>
      </c>
      <c r="G30" t="s">
        <v>15</v>
      </c>
    </row>
    <row r="31" spans="1:7" x14ac:dyDescent="0.25">
      <c r="A31" s="30">
        <v>44749</v>
      </c>
      <c r="B31" t="s">
        <v>139</v>
      </c>
      <c r="C31" s="31">
        <v>0.08</v>
      </c>
      <c r="D31" s="31">
        <f>IF(TableTransactions[[#This Row],[Category Type]]="Expense",-TableTransactions[[#This Row],[Amount]],TableTransactions[[#This Row],[Amount]])</f>
        <v>-0.08</v>
      </c>
      <c r="E31" t="s">
        <v>3</v>
      </c>
      <c r="F31" t="s">
        <v>14</v>
      </c>
      <c r="G31" t="s">
        <v>15</v>
      </c>
    </row>
    <row r="32" spans="1:7" x14ac:dyDescent="0.25">
      <c r="A32" s="30">
        <v>44749</v>
      </c>
      <c r="B32" t="s">
        <v>139</v>
      </c>
      <c r="C32" s="31">
        <v>0.05</v>
      </c>
      <c r="D32" s="31">
        <f>IF(TableTransactions[[#This Row],[Category Type]]="Expense",-TableTransactions[[#This Row],[Amount]],TableTransactions[[#This Row],[Amount]])</f>
        <v>-0.05</v>
      </c>
      <c r="E32" t="s">
        <v>3</v>
      </c>
      <c r="F32" t="s">
        <v>14</v>
      </c>
      <c r="G32" t="s">
        <v>15</v>
      </c>
    </row>
    <row r="33" spans="1:7" x14ac:dyDescent="0.25">
      <c r="A33" s="30">
        <v>44750</v>
      </c>
      <c r="B33" t="s">
        <v>136</v>
      </c>
      <c r="C33" s="31">
        <v>40.89</v>
      </c>
      <c r="D33" s="31">
        <f>IF(TableTransactions[[#This Row],[Category Type]]="Expense",-TableTransactions[[#This Row],[Amount]],TableTransactions[[#This Row],[Amount]])</f>
        <v>-40.89</v>
      </c>
      <c r="E33" t="s">
        <v>3</v>
      </c>
      <c r="F33" t="s">
        <v>59</v>
      </c>
      <c r="G33" t="s">
        <v>60</v>
      </c>
    </row>
    <row r="34" spans="1:7" x14ac:dyDescent="0.25">
      <c r="A34" s="30">
        <v>44759</v>
      </c>
      <c r="B34" t="s">
        <v>82</v>
      </c>
      <c r="C34" s="31">
        <v>3.99</v>
      </c>
      <c r="D34" s="31">
        <f>IF(TableTransactions[[#This Row],[Category Type]]="Expense",-TableTransactions[[#This Row],[Amount]],TableTransactions[[#This Row],[Amount]])</f>
        <v>-3.99</v>
      </c>
      <c r="E34" t="s">
        <v>3</v>
      </c>
      <c r="F34" t="s">
        <v>14</v>
      </c>
      <c r="G34" t="s">
        <v>15</v>
      </c>
    </row>
    <row r="35" spans="1:7" x14ac:dyDescent="0.25">
      <c r="A35" s="30">
        <v>44760</v>
      </c>
      <c r="B35" t="s">
        <v>138</v>
      </c>
      <c r="C35" s="31">
        <v>200</v>
      </c>
      <c r="D35" s="31">
        <f>IF(TableTransactions[[#This Row],[Category Type]]="Expense",-TableTransactions[[#This Row],[Amount]],TableTransactions[[#This Row],[Amount]])</f>
        <v>-200</v>
      </c>
      <c r="E35" t="s">
        <v>3</v>
      </c>
      <c r="F35" t="s">
        <v>32</v>
      </c>
      <c r="G35" t="s">
        <v>33</v>
      </c>
    </row>
    <row r="36" spans="1:7" x14ac:dyDescent="0.25">
      <c r="A36" s="30">
        <v>44763</v>
      </c>
      <c r="B36" t="s">
        <v>155</v>
      </c>
      <c r="C36" s="31">
        <v>143.33000000000001</v>
      </c>
      <c r="D36" s="31">
        <f>IF(TableTransactions[[#This Row],[Category Type]]="Expense",-TableTransactions[[#This Row],[Amount]],TableTransactions[[#This Row],[Amount]])</f>
        <v>-143.33000000000001</v>
      </c>
      <c r="E36" t="s">
        <v>3</v>
      </c>
      <c r="F36" t="s">
        <v>32</v>
      </c>
      <c r="G36" t="s">
        <v>33</v>
      </c>
    </row>
    <row r="37" spans="1:7" x14ac:dyDescent="0.25">
      <c r="A37" s="30">
        <v>44764</v>
      </c>
      <c r="B37" t="s">
        <v>22</v>
      </c>
      <c r="C37" s="31">
        <v>7.07</v>
      </c>
      <c r="D37" s="31">
        <f>IF(TableTransactions[[#This Row],[Category Type]]="Expense",-TableTransactions[[#This Row],[Amount]],TableTransactions[[#This Row],[Amount]])</f>
        <v>-7.07</v>
      </c>
      <c r="E37" t="s">
        <v>3</v>
      </c>
      <c r="F37" t="s">
        <v>21</v>
      </c>
      <c r="G37" t="s">
        <v>22</v>
      </c>
    </row>
    <row r="38" spans="1:7" x14ac:dyDescent="0.25">
      <c r="A38" s="30">
        <v>44768</v>
      </c>
      <c r="B38" t="s">
        <v>140</v>
      </c>
      <c r="C38" s="31">
        <v>2.99</v>
      </c>
      <c r="D38" s="31">
        <f>IF(TableTransactions[[#This Row],[Category Type]]="Expense",-TableTransactions[[#This Row],[Amount]],TableTransactions[[#This Row],[Amount]])</f>
        <v>-2.99</v>
      </c>
      <c r="E38" t="s">
        <v>3</v>
      </c>
      <c r="F38" t="s">
        <v>14</v>
      </c>
      <c r="G38" t="s">
        <v>15</v>
      </c>
    </row>
    <row r="39" spans="1:7" x14ac:dyDescent="0.25">
      <c r="A39" s="30">
        <v>44771</v>
      </c>
      <c r="B39" t="s">
        <v>22</v>
      </c>
      <c r="C39" s="31">
        <v>17.600000000000001</v>
      </c>
      <c r="D39" s="31">
        <f>IF(TableTransactions[[#This Row],[Category Type]]="Expense",-TableTransactions[[#This Row],[Amount]],TableTransactions[[#This Row],[Amount]])</f>
        <v>-17.600000000000001</v>
      </c>
      <c r="E39" t="s">
        <v>3</v>
      </c>
      <c r="F39" t="s">
        <v>21</v>
      </c>
      <c r="G39" t="s">
        <v>22</v>
      </c>
    </row>
    <row r="40" spans="1:7" x14ac:dyDescent="0.25">
      <c r="A40" s="30">
        <v>44775</v>
      </c>
      <c r="B40" t="s">
        <v>87</v>
      </c>
      <c r="C40" s="31">
        <v>34.78</v>
      </c>
      <c r="D40" s="31">
        <f>IF(TableTransactions[[#This Row],[Category Type]]="Expense",-TableTransactions[[#This Row],[Amount]],TableTransactions[[#This Row],[Amount]])</f>
        <v>-34.78</v>
      </c>
      <c r="E40" t="s">
        <v>3</v>
      </c>
      <c r="F40" t="s">
        <v>14</v>
      </c>
      <c r="G40" t="s">
        <v>15</v>
      </c>
    </row>
    <row r="41" spans="1:7" x14ac:dyDescent="0.25">
      <c r="A41" s="30">
        <v>44775</v>
      </c>
      <c r="B41" t="s">
        <v>87</v>
      </c>
      <c r="C41" s="31">
        <v>0.59</v>
      </c>
      <c r="D41" s="31">
        <f>IF(TableTransactions[[#This Row],[Category Type]]="Expense",-TableTransactions[[#This Row],[Amount]],TableTransactions[[#This Row],[Amount]])</f>
        <v>-0.59</v>
      </c>
      <c r="E41" t="s">
        <v>3</v>
      </c>
      <c r="F41" t="s">
        <v>14</v>
      </c>
      <c r="G41" t="s">
        <v>15</v>
      </c>
    </row>
    <row r="42" spans="1:7" x14ac:dyDescent="0.25">
      <c r="A42" s="30">
        <v>44775</v>
      </c>
      <c r="B42" t="s">
        <v>87</v>
      </c>
      <c r="C42" s="31">
        <v>0.02</v>
      </c>
      <c r="D42" s="31">
        <f>IF(TableTransactions[[#This Row],[Category Type]]="Expense",-TableTransactions[[#This Row],[Amount]],TableTransactions[[#This Row],[Amount]])</f>
        <v>-0.02</v>
      </c>
      <c r="E42" t="s">
        <v>3</v>
      </c>
      <c r="F42" t="s">
        <v>14</v>
      </c>
      <c r="G42" t="s">
        <v>15</v>
      </c>
    </row>
    <row r="43" spans="1:7" x14ac:dyDescent="0.25">
      <c r="A43" s="30">
        <v>44775</v>
      </c>
      <c r="B43" t="s">
        <v>87</v>
      </c>
      <c r="C43" s="31">
        <v>0.35</v>
      </c>
      <c r="D43" s="31">
        <f>IF(TableTransactions[[#This Row],[Category Type]]="Expense",-TableTransactions[[#This Row],[Amount]],TableTransactions[[#This Row],[Amount]])</f>
        <v>-0.35</v>
      </c>
      <c r="E43" t="s">
        <v>3</v>
      </c>
      <c r="F43" t="s">
        <v>14</v>
      </c>
      <c r="G43" t="s">
        <v>15</v>
      </c>
    </row>
    <row r="44" spans="1:7" x14ac:dyDescent="0.25">
      <c r="A44" s="30">
        <v>44775</v>
      </c>
      <c r="B44" t="s">
        <v>87</v>
      </c>
      <c r="C44" s="31">
        <v>0.01</v>
      </c>
      <c r="D44" s="31">
        <f>IF(TableTransactions[[#This Row],[Category Type]]="Expense",-TableTransactions[[#This Row],[Amount]],TableTransactions[[#This Row],[Amount]])</f>
        <v>-0.01</v>
      </c>
      <c r="E44" t="s">
        <v>3</v>
      </c>
      <c r="F44" t="s">
        <v>14</v>
      </c>
      <c r="G44" t="s">
        <v>15</v>
      </c>
    </row>
    <row r="45" spans="1:7" x14ac:dyDescent="0.25">
      <c r="A45" s="30">
        <v>44775</v>
      </c>
      <c r="B45" t="s">
        <v>138</v>
      </c>
      <c r="C45" s="31">
        <v>200</v>
      </c>
      <c r="D45" s="31">
        <f>IF(TableTransactions[[#This Row],[Category Type]]="Expense",-TableTransactions[[#This Row],[Amount]],TableTransactions[[#This Row],[Amount]])</f>
        <v>-200</v>
      </c>
      <c r="E45" t="s">
        <v>3</v>
      </c>
      <c r="F45" t="s">
        <v>32</v>
      </c>
      <c r="G45" t="s">
        <v>34</v>
      </c>
    </row>
    <row r="46" spans="1:7" x14ac:dyDescent="0.25">
      <c r="A46" s="30">
        <v>44782</v>
      </c>
      <c r="B46" t="s">
        <v>141</v>
      </c>
      <c r="C46" s="31">
        <v>20</v>
      </c>
      <c r="D46" s="31">
        <f>IF(TableTransactions[[#This Row],[Category Type]]="Expense",-TableTransactions[[#This Row],[Amount]],TableTransactions[[#This Row],[Amount]])</f>
        <v>-20</v>
      </c>
      <c r="E46" t="s">
        <v>3</v>
      </c>
      <c r="F46" t="s">
        <v>6</v>
      </c>
      <c r="G46" t="s">
        <v>43</v>
      </c>
    </row>
    <row r="47" spans="1:7" x14ac:dyDescent="0.25">
      <c r="A47" s="30">
        <v>44783</v>
      </c>
      <c r="B47" t="s">
        <v>139</v>
      </c>
      <c r="C47" s="31">
        <v>4.9800000000000004</v>
      </c>
      <c r="D47" s="31">
        <f>IF(TableTransactions[[#This Row],[Category Type]]="Expense",-TableTransactions[[#This Row],[Amount]],TableTransactions[[#This Row],[Amount]])</f>
        <v>-4.9800000000000004</v>
      </c>
      <c r="E47" t="s">
        <v>3</v>
      </c>
      <c r="F47" t="s">
        <v>14</v>
      </c>
      <c r="G47" t="s">
        <v>15</v>
      </c>
    </row>
    <row r="48" spans="1:7" x14ac:dyDescent="0.25">
      <c r="A48" s="30">
        <v>44783</v>
      </c>
      <c r="B48" t="s">
        <v>139</v>
      </c>
      <c r="C48" s="31">
        <v>0.08</v>
      </c>
      <c r="D48" s="31">
        <f>IF(TableTransactions[[#This Row],[Category Type]]="Expense",-TableTransactions[[#This Row],[Amount]],TableTransactions[[#This Row],[Amount]])</f>
        <v>-0.08</v>
      </c>
      <c r="E48" t="s">
        <v>3</v>
      </c>
      <c r="F48" t="s">
        <v>14</v>
      </c>
      <c r="G48" t="s">
        <v>15</v>
      </c>
    </row>
    <row r="49" spans="1:7" x14ac:dyDescent="0.25">
      <c r="A49" s="30">
        <v>44783</v>
      </c>
      <c r="B49" t="s">
        <v>139</v>
      </c>
      <c r="C49" s="31">
        <v>0.05</v>
      </c>
      <c r="D49" s="31">
        <f>IF(TableTransactions[[#This Row],[Category Type]]="Expense",-TableTransactions[[#This Row],[Amount]],TableTransactions[[#This Row],[Amount]])</f>
        <v>-0.05</v>
      </c>
      <c r="E49" t="s">
        <v>3</v>
      </c>
      <c r="F49" t="s">
        <v>14</v>
      </c>
      <c r="G49" t="s">
        <v>15</v>
      </c>
    </row>
    <row r="50" spans="1:7" x14ac:dyDescent="0.25">
      <c r="A50" s="30">
        <v>44790</v>
      </c>
      <c r="B50" t="s">
        <v>82</v>
      </c>
      <c r="C50" s="31">
        <v>3.99</v>
      </c>
      <c r="D50" s="31">
        <f>IF(TableTransactions[[#This Row],[Category Type]]="Expense",-TableTransactions[[#This Row],[Amount]],TableTransactions[[#This Row],[Amount]])</f>
        <v>-3.99</v>
      </c>
      <c r="E50" t="s">
        <v>3</v>
      </c>
      <c r="F50" t="s">
        <v>14</v>
      </c>
      <c r="G50" t="s">
        <v>15</v>
      </c>
    </row>
    <row r="51" spans="1:7" x14ac:dyDescent="0.25">
      <c r="A51" s="30">
        <v>44791</v>
      </c>
      <c r="B51" t="s">
        <v>142</v>
      </c>
      <c r="C51" s="31">
        <v>89.99</v>
      </c>
      <c r="D51" s="31">
        <f>IF(TableTransactions[[#This Row],[Category Type]]="Expense",-TableTransactions[[#This Row],[Amount]],TableTransactions[[#This Row],[Amount]])</f>
        <v>-89.99</v>
      </c>
      <c r="E51" t="s">
        <v>3</v>
      </c>
      <c r="F51" t="s">
        <v>14</v>
      </c>
      <c r="G51" t="s">
        <v>15</v>
      </c>
    </row>
    <row r="52" spans="1:7" x14ac:dyDescent="0.25">
      <c r="A52" s="30">
        <v>44796</v>
      </c>
      <c r="B52" t="s">
        <v>141</v>
      </c>
      <c r="C52" s="31">
        <v>10</v>
      </c>
      <c r="D52" s="31">
        <f>IF(TableTransactions[[#This Row],[Category Type]]="Expense",-TableTransactions[[#This Row],[Amount]],TableTransactions[[#This Row],[Amount]])</f>
        <v>-10</v>
      </c>
      <c r="E52" t="s">
        <v>3</v>
      </c>
      <c r="F52" t="s">
        <v>6</v>
      </c>
      <c r="G52" t="s">
        <v>43</v>
      </c>
    </row>
    <row r="53" spans="1:7" x14ac:dyDescent="0.25">
      <c r="A53" s="30">
        <v>44797</v>
      </c>
      <c r="B53" t="s">
        <v>143</v>
      </c>
      <c r="C53" s="31">
        <v>60</v>
      </c>
      <c r="D53" s="31">
        <f>IF(TableTransactions[[#This Row],[Category Type]]="Expense",-TableTransactions[[#This Row],[Amount]],TableTransactions[[#This Row],[Amount]])</f>
        <v>-60</v>
      </c>
      <c r="E53" t="s">
        <v>3</v>
      </c>
      <c r="F53" t="s">
        <v>14</v>
      </c>
      <c r="G53" t="s">
        <v>15</v>
      </c>
    </row>
    <row r="54" spans="1:7" x14ac:dyDescent="0.25">
      <c r="A54" s="30">
        <v>44798</v>
      </c>
      <c r="B54" t="s">
        <v>141</v>
      </c>
      <c r="C54" s="31">
        <v>10</v>
      </c>
      <c r="D54" s="31">
        <f>IF(TableTransactions[[#This Row],[Category Type]]="Expense",-TableTransactions[[#This Row],[Amount]],TableTransactions[[#This Row],[Amount]])</f>
        <v>-10</v>
      </c>
      <c r="E54" t="s">
        <v>3</v>
      </c>
      <c r="F54" t="s">
        <v>6</v>
      </c>
      <c r="G54" t="s">
        <v>43</v>
      </c>
    </row>
    <row r="55" spans="1:7" x14ac:dyDescent="0.25">
      <c r="A55" s="30">
        <v>44798</v>
      </c>
      <c r="B55" t="s">
        <v>78</v>
      </c>
      <c r="C55" s="31">
        <v>10</v>
      </c>
      <c r="D55" s="31">
        <f>IF(TableTransactions[[#This Row],[Category Type]]="Expense",-TableTransactions[[#This Row],[Amount]],TableTransactions[[#This Row],[Amount]])</f>
        <v>-10</v>
      </c>
      <c r="E55" t="s">
        <v>3</v>
      </c>
      <c r="F55" t="s">
        <v>6</v>
      </c>
      <c r="G55" t="s">
        <v>46</v>
      </c>
    </row>
    <row r="56" spans="1:7" x14ac:dyDescent="0.25">
      <c r="A56" s="30">
        <v>44800</v>
      </c>
      <c r="B56" t="s">
        <v>78</v>
      </c>
      <c r="C56" s="31">
        <v>10</v>
      </c>
      <c r="D56" s="31">
        <f>IF(TableTransactions[[#This Row],[Category Type]]="Expense",-TableTransactions[[#This Row],[Amount]],TableTransactions[[#This Row],[Amount]])</f>
        <v>-10</v>
      </c>
      <c r="E56" t="s">
        <v>3</v>
      </c>
      <c r="F56" t="s">
        <v>6</v>
      </c>
      <c r="G56" t="s">
        <v>46</v>
      </c>
    </row>
    <row r="57" spans="1:7" x14ac:dyDescent="0.25">
      <c r="A57" s="30">
        <v>44806</v>
      </c>
      <c r="B57" t="s">
        <v>144</v>
      </c>
      <c r="C57" s="31">
        <v>26</v>
      </c>
      <c r="D57" s="31">
        <f>IF(TableTransactions[[#This Row],[Category Type]]="Expense",-TableTransactions[[#This Row],[Amount]],TableTransactions[[#This Row],[Amount]])</f>
        <v>-26</v>
      </c>
      <c r="E57" t="s">
        <v>3</v>
      </c>
      <c r="F57" t="s">
        <v>14</v>
      </c>
      <c r="G57" t="s">
        <v>15</v>
      </c>
    </row>
    <row r="58" spans="1:7" x14ac:dyDescent="0.25">
      <c r="A58" s="30">
        <v>44807</v>
      </c>
      <c r="B58" t="s">
        <v>144</v>
      </c>
      <c r="C58" s="31">
        <v>22</v>
      </c>
      <c r="D58" s="31">
        <f>IF(TableTransactions[[#This Row],[Category Type]]="Expense",-TableTransactions[[#This Row],[Amount]],TableTransactions[[#This Row],[Amount]])</f>
        <v>-22</v>
      </c>
      <c r="E58" t="s">
        <v>3</v>
      </c>
      <c r="F58" t="s">
        <v>14</v>
      </c>
      <c r="G58" t="s">
        <v>15</v>
      </c>
    </row>
    <row r="59" spans="1:7" x14ac:dyDescent="0.25">
      <c r="A59" s="30">
        <v>44807</v>
      </c>
      <c r="B59" t="s">
        <v>152</v>
      </c>
      <c r="C59" s="31">
        <v>10</v>
      </c>
      <c r="D59" s="31">
        <f>IF(TableTransactions[[#This Row],[Category Type]]="Expense",-TableTransactions[[#This Row],[Amount]],TableTransactions[[#This Row],[Amount]])</f>
        <v>-10</v>
      </c>
      <c r="E59" t="s">
        <v>3</v>
      </c>
      <c r="F59" t="s">
        <v>21</v>
      </c>
      <c r="G59" t="s">
        <v>23</v>
      </c>
    </row>
    <row r="60" spans="1:7" x14ac:dyDescent="0.25">
      <c r="A60" s="30">
        <v>44809</v>
      </c>
      <c r="B60" t="s">
        <v>138</v>
      </c>
      <c r="C60" s="31">
        <v>200</v>
      </c>
      <c r="D60" s="31">
        <f>IF(TableTransactions[[#This Row],[Category Type]]="Expense",-TableTransactions[[#This Row],[Amount]],TableTransactions[[#This Row],[Amount]])</f>
        <v>-200</v>
      </c>
      <c r="E60" t="s">
        <v>3</v>
      </c>
      <c r="F60" t="s">
        <v>32</v>
      </c>
      <c r="G60" t="s">
        <v>34</v>
      </c>
    </row>
    <row r="61" spans="1:7" x14ac:dyDescent="0.25">
      <c r="A61" s="30">
        <v>44809</v>
      </c>
      <c r="B61" t="s">
        <v>87</v>
      </c>
      <c r="C61" s="31">
        <v>35.49</v>
      </c>
      <c r="D61" s="31">
        <f>IF(TableTransactions[[#This Row],[Category Type]]="Expense",-TableTransactions[[#This Row],[Amount]],TableTransactions[[#This Row],[Amount]])</f>
        <v>-35.49</v>
      </c>
      <c r="E61" t="s">
        <v>3</v>
      </c>
      <c r="F61" t="s">
        <v>14</v>
      </c>
      <c r="G61" t="s">
        <v>15</v>
      </c>
    </row>
    <row r="62" spans="1:7" x14ac:dyDescent="0.25">
      <c r="A62" s="30">
        <v>44809</v>
      </c>
      <c r="B62" t="s">
        <v>87</v>
      </c>
      <c r="C62" s="31">
        <v>0.6</v>
      </c>
      <c r="D62" s="31">
        <f>IF(TableTransactions[[#This Row],[Category Type]]="Expense",-TableTransactions[[#This Row],[Amount]],TableTransactions[[#This Row],[Amount]])</f>
        <v>-0.6</v>
      </c>
      <c r="E62" t="s">
        <v>3</v>
      </c>
      <c r="F62" t="s">
        <v>14</v>
      </c>
      <c r="G62" t="s">
        <v>15</v>
      </c>
    </row>
    <row r="63" spans="1:7" x14ac:dyDescent="0.25">
      <c r="A63" s="30">
        <v>44809</v>
      </c>
      <c r="B63" t="s">
        <v>87</v>
      </c>
      <c r="C63" s="31">
        <v>0.02</v>
      </c>
      <c r="D63" s="31">
        <f>IF(TableTransactions[[#This Row],[Category Type]]="Expense",-TableTransactions[[#This Row],[Amount]],TableTransactions[[#This Row],[Amount]])</f>
        <v>-0.02</v>
      </c>
      <c r="E63" t="s">
        <v>3</v>
      </c>
      <c r="F63" t="s">
        <v>14</v>
      </c>
      <c r="G63" t="s">
        <v>15</v>
      </c>
    </row>
    <row r="64" spans="1:7" x14ac:dyDescent="0.25">
      <c r="A64" s="30">
        <v>44809</v>
      </c>
      <c r="B64" t="s">
        <v>87</v>
      </c>
      <c r="C64" s="31">
        <v>0.35</v>
      </c>
      <c r="D64" s="31">
        <f>IF(TableTransactions[[#This Row],[Category Type]]="Expense",-TableTransactions[[#This Row],[Amount]],TableTransactions[[#This Row],[Amount]])</f>
        <v>-0.35</v>
      </c>
      <c r="E64" t="s">
        <v>3</v>
      </c>
      <c r="F64" t="s">
        <v>14</v>
      </c>
      <c r="G64" t="s">
        <v>15</v>
      </c>
    </row>
    <row r="65" spans="1:7" x14ac:dyDescent="0.25">
      <c r="A65" s="30">
        <v>44809</v>
      </c>
      <c r="B65" t="s">
        <v>87</v>
      </c>
      <c r="C65" s="31">
        <v>0.01</v>
      </c>
      <c r="D65" s="31">
        <f>IF(TableTransactions[[#This Row],[Category Type]]="Expense",-TableTransactions[[#This Row],[Amount]],TableTransactions[[#This Row],[Amount]])</f>
        <v>-0.01</v>
      </c>
      <c r="E65" t="s">
        <v>3</v>
      </c>
      <c r="F65" t="s">
        <v>14</v>
      </c>
      <c r="G65" t="s">
        <v>15</v>
      </c>
    </row>
    <row r="66" spans="1:7" x14ac:dyDescent="0.25">
      <c r="A66" s="30">
        <v>44809</v>
      </c>
      <c r="B66" t="s">
        <v>145</v>
      </c>
      <c r="C66" s="31">
        <v>20</v>
      </c>
      <c r="D66" s="31">
        <f>IF(TableTransactions[[#This Row],[Category Type]]="Expense",-TableTransactions[[#This Row],[Amount]],TableTransactions[[#This Row],[Amount]])</f>
        <v>-20</v>
      </c>
      <c r="E66" t="s">
        <v>3</v>
      </c>
      <c r="F66" t="s">
        <v>6</v>
      </c>
      <c r="G66" t="s">
        <v>43</v>
      </c>
    </row>
    <row r="67" spans="1:7" x14ac:dyDescent="0.25">
      <c r="A67" s="30">
        <v>44809</v>
      </c>
      <c r="B67" t="s">
        <v>146</v>
      </c>
      <c r="C67" s="31">
        <v>293.57</v>
      </c>
      <c r="D67" s="31">
        <f>IF(TableTransactions[[#This Row],[Category Type]]="Expense",-TableTransactions[[#This Row],[Amount]],TableTransactions[[#This Row],[Amount]])</f>
        <v>-293.57</v>
      </c>
      <c r="E67" t="s">
        <v>3</v>
      </c>
      <c r="F67" t="s">
        <v>14</v>
      </c>
      <c r="G67" t="s">
        <v>113</v>
      </c>
    </row>
    <row r="68" spans="1:7" x14ac:dyDescent="0.25">
      <c r="A68" s="30">
        <v>44809</v>
      </c>
      <c r="B68" t="s">
        <v>88</v>
      </c>
      <c r="C68" s="31">
        <v>47.5</v>
      </c>
      <c r="D68" s="31">
        <f>IF(TableTransactions[[#This Row],[Category Type]]="Expense",-TableTransactions[[#This Row],[Amount]],TableTransactions[[#This Row],[Amount]])</f>
        <v>-47.5</v>
      </c>
      <c r="E68" t="s">
        <v>3</v>
      </c>
      <c r="F68" t="s">
        <v>14</v>
      </c>
      <c r="G68" t="s">
        <v>15</v>
      </c>
    </row>
    <row r="69" spans="1:7" x14ac:dyDescent="0.25">
      <c r="A69" s="30">
        <v>44810</v>
      </c>
      <c r="B69" t="s">
        <v>88</v>
      </c>
      <c r="C69" s="31">
        <v>14.99</v>
      </c>
      <c r="D69" s="31">
        <f>IF(TableTransactions[[#This Row],[Category Type]]="Expense",-TableTransactions[[#This Row],[Amount]],TableTransactions[[#This Row],[Amount]])</f>
        <v>-14.99</v>
      </c>
      <c r="E69" t="s">
        <v>3</v>
      </c>
      <c r="F69" t="s">
        <v>14</v>
      </c>
      <c r="G69" t="s">
        <v>15</v>
      </c>
    </row>
    <row r="70" spans="1:7" x14ac:dyDescent="0.25">
      <c r="A70" s="30">
        <v>44810</v>
      </c>
      <c r="B70" t="s">
        <v>88</v>
      </c>
      <c r="C70" s="31">
        <v>0.25</v>
      </c>
      <c r="D70" s="31">
        <f>IF(TableTransactions[[#This Row],[Category Type]]="Expense",-TableTransactions[[#This Row],[Amount]],TableTransactions[[#This Row],[Amount]])</f>
        <v>-0.25</v>
      </c>
      <c r="E70" t="s">
        <v>3</v>
      </c>
      <c r="F70" t="s">
        <v>14</v>
      </c>
      <c r="G70" t="s">
        <v>15</v>
      </c>
    </row>
    <row r="71" spans="1:7" x14ac:dyDescent="0.25">
      <c r="A71" s="30">
        <v>44810</v>
      </c>
      <c r="B71" t="s">
        <v>88</v>
      </c>
      <c r="C71" s="31">
        <v>0.01</v>
      </c>
      <c r="D71" s="31">
        <f>IF(TableTransactions[[#This Row],[Category Type]]="Expense",-TableTransactions[[#This Row],[Amount]],TableTransactions[[#This Row],[Amount]])</f>
        <v>-0.01</v>
      </c>
      <c r="E71" t="s">
        <v>3</v>
      </c>
      <c r="F71" t="s">
        <v>14</v>
      </c>
      <c r="G71" t="s">
        <v>15</v>
      </c>
    </row>
    <row r="72" spans="1:7" x14ac:dyDescent="0.25">
      <c r="A72" s="30">
        <v>44810</v>
      </c>
      <c r="B72" t="s">
        <v>88</v>
      </c>
      <c r="C72" s="31">
        <v>0.15</v>
      </c>
      <c r="D72" s="31">
        <f>IF(TableTransactions[[#This Row],[Category Type]]="Expense",-TableTransactions[[#This Row],[Amount]],TableTransactions[[#This Row],[Amount]])</f>
        <v>-0.15</v>
      </c>
      <c r="E72" t="s">
        <v>3</v>
      </c>
      <c r="F72" t="s">
        <v>14</v>
      </c>
      <c r="G72" t="s">
        <v>15</v>
      </c>
    </row>
    <row r="73" spans="1:7" x14ac:dyDescent="0.25">
      <c r="A73" s="30">
        <v>44810</v>
      </c>
      <c r="B73" t="s">
        <v>88</v>
      </c>
      <c r="C73" s="31">
        <v>0.01</v>
      </c>
      <c r="D73" s="31">
        <f>IF(TableTransactions[[#This Row],[Category Type]]="Expense",-TableTransactions[[#This Row],[Amount]],TableTransactions[[#This Row],[Amount]])</f>
        <v>-0.01</v>
      </c>
      <c r="E73" t="s">
        <v>3</v>
      </c>
      <c r="F73" t="s">
        <v>14</v>
      </c>
      <c r="G73" t="s">
        <v>15</v>
      </c>
    </row>
    <row r="74" spans="1:7" x14ac:dyDescent="0.25">
      <c r="A74" s="30">
        <v>44812</v>
      </c>
      <c r="B74" t="s">
        <v>144</v>
      </c>
      <c r="C74" s="31">
        <v>19.2</v>
      </c>
      <c r="D74" s="31">
        <f>IF(TableTransactions[[#This Row],[Category Type]]="Expense",-TableTransactions[[#This Row],[Amount]],TableTransactions[[#This Row],[Amount]])</f>
        <v>-19.2</v>
      </c>
      <c r="E74" t="s">
        <v>3</v>
      </c>
      <c r="F74" t="s">
        <v>14</v>
      </c>
      <c r="G74" t="s">
        <v>15</v>
      </c>
    </row>
    <row r="75" spans="1:7" x14ac:dyDescent="0.25">
      <c r="A75" s="30">
        <v>44814</v>
      </c>
      <c r="B75" t="s">
        <v>147</v>
      </c>
      <c r="C75" s="31">
        <v>5.07</v>
      </c>
      <c r="D75" s="31">
        <f>IF(TableTransactions[[#This Row],[Category Type]]="Expense",-TableTransactions[[#This Row],[Amount]],TableTransactions[[#This Row],[Amount]])</f>
        <v>-5.07</v>
      </c>
      <c r="E75" t="s">
        <v>3</v>
      </c>
      <c r="F75" t="s">
        <v>14</v>
      </c>
      <c r="G75" t="s">
        <v>15</v>
      </c>
    </row>
    <row r="76" spans="1:7" x14ac:dyDescent="0.25">
      <c r="A76" s="30">
        <v>44814</v>
      </c>
      <c r="B76" t="s">
        <v>147</v>
      </c>
      <c r="C76" s="31">
        <v>0.09</v>
      </c>
      <c r="D76" s="31">
        <f>IF(TableTransactions[[#This Row],[Category Type]]="Expense",-TableTransactions[[#This Row],[Amount]],TableTransactions[[#This Row],[Amount]])</f>
        <v>-0.09</v>
      </c>
      <c r="E76" t="s">
        <v>3</v>
      </c>
      <c r="F76" t="s">
        <v>14</v>
      </c>
      <c r="G76" t="s">
        <v>15</v>
      </c>
    </row>
    <row r="77" spans="1:7" x14ac:dyDescent="0.25">
      <c r="A77" s="30">
        <v>44814</v>
      </c>
      <c r="B77" t="s">
        <v>147</v>
      </c>
      <c r="C77" s="31">
        <v>0.05</v>
      </c>
      <c r="D77" s="31">
        <f>IF(TableTransactions[[#This Row],[Category Type]]="Expense",-TableTransactions[[#This Row],[Amount]],TableTransactions[[#This Row],[Amount]])</f>
        <v>-0.05</v>
      </c>
      <c r="E77" t="s">
        <v>3</v>
      </c>
      <c r="F77" t="s">
        <v>14</v>
      </c>
      <c r="G77" t="s">
        <v>15</v>
      </c>
    </row>
    <row r="78" spans="1:7" x14ac:dyDescent="0.25">
      <c r="A78" s="30">
        <v>44814</v>
      </c>
      <c r="B78" t="s">
        <v>148</v>
      </c>
      <c r="C78" s="31">
        <v>5.4</v>
      </c>
      <c r="D78" s="31">
        <f>IF(TableTransactions[[#This Row],[Category Type]]="Expense",-TableTransactions[[#This Row],[Amount]],TableTransactions[[#This Row],[Amount]])</f>
        <v>-5.4</v>
      </c>
      <c r="E78" t="s">
        <v>3</v>
      </c>
      <c r="F78" t="s">
        <v>6</v>
      </c>
      <c r="G78" t="s">
        <v>44</v>
      </c>
    </row>
    <row r="79" spans="1:7" x14ac:dyDescent="0.25">
      <c r="A79" s="30">
        <v>44818</v>
      </c>
      <c r="B79" t="s">
        <v>149</v>
      </c>
      <c r="C79" s="31">
        <v>6</v>
      </c>
      <c r="D79" s="31">
        <f>IF(TableTransactions[[#This Row],[Category Type]]="Expense",-TableTransactions[[#This Row],[Amount]],TableTransactions[[#This Row],[Amount]])</f>
        <v>-6</v>
      </c>
      <c r="E79" t="s">
        <v>3</v>
      </c>
      <c r="F79" t="s">
        <v>14</v>
      </c>
      <c r="G79" t="s">
        <v>15</v>
      </c>
    </row>
    <row r="80" spans="1:7" x14ac:dyDescent="0.25">
      <c r="A80" s="30">
        <v>44820</v>
      </c>
      <c r="B80" t="s">
        <v>78</v>
      </c>
      <c r="C80" s="31">
        <v>20</v>
      </c>
      <c r="D80" s="31">
        <f>IF(TableTransactions[[#This Row],[Category Type]]="Expense",-TableTransactions[[#This Row],[Amount]],TableTransactions[[#This Row],[Amount]])</f>
        <v>-20</v>
      </c>
      <c r="E80" t="s">
        <v>3</v>
      </c>
      <c r="F80" t="s">
        <v>6</v>
      </c>
      <c r="G80" t="s">
        <v>46</v>
      </c>
    </row>
    <row r="81" spans="1:7" x14ac:dyDescent="0.25">
      <c r="A81" s="30">
        <v>44820</v>
      </c>
      <c r="B81" t="s">
        <v>149</v>
      </c>
      <c r="C81" s="31">
        <v>15</v>
      </c>
      <c r="D81" s="31">
        <f>IF(TableTransactions[[#This Row],[Category Type]]="Expense",-TableTransactions[[#This Row],[Amount]],TableTransactions[[#This Row],[Amount]])</f>
        <v>-15</v>
      </c>
      <c r="E81" t="s">
        <v>3</v>
      </c>
      <c r="F81" t="s">
        <v>14</v>
      </c>
      <c r="G81" t="s">
        <v>15</v>
      </c>
    </row>
    <row r="82" spans="1:7" x14ac:dyDescent="0.25">
      <c r="A82" s="30">
        <v>44821</v>
      </c>
      <c r="B82" t="s">
        <v>150</v>
      </c>
      <c r="C82" s="31">
        <v>34.9</v>
      </c>
      <c r="D82" s="31">
        <f>IF(TableTransactions[[#This Row],[Category Type]]="Expense",-TableTransactions[[#This Row],[Amount]],TableTransactions[[#This Row],[Amount]])</f>
        <v>-34.9</v>
      </c>
      <c r="E82" t="s">
        <v>3</v>
      </c>
      <c r="F82" t="s">
        <v>93</v>
      </c>
      <c r="G82" t="s">
        <v>52</v>
      </c>
    </row>
    <row r="83" spans="1:7" x14ac:dyDescent="0.25">
      <c r="A83" s="30">
        <v>44821</v>
      </c>
      <c r="B83" t="s">
        <v>82</v>
      </c>
      <c r="C83" s="31">
        <v>4.99</v>
      </c>
      <c r="D83" s="31">
        <f>IF(TableTransactions[[#This Row],[Category Type]]="Expense",-TableTransactions[[#This Row],[Amount]],TableTransactions[[#This Row],[Amount]])</f>
        <v>-4.99</v>
      </c>
      <c r="E83" t="s">
        <v>3</v>
      </c>
      <c r="F83" t="s">
        <v>14</v>
      </c>
      <c r="G83" t="s">
        <v>15</v>
      </c>
    </row>
    <row r="84" spans="1:7" x14ac:dyDescent="0.25">
      <c r="A84" s="30">
        <v>44821</v>
      </c>
      <c r="B84" t="s">
        <v>151</v>
      </c>
      <c r="C84" s="31">
        <v>1.2</v>
      </c>
      <c r="D84" s="31">
        <f>IF(TableTransactions[[#This Row],[Category Type]]="Expense",-TableTransactions[[#This Row],[Amount]],TableTransactions[[#This Row],[Amount]])</f>
        <v>-1.2</v>
      </c>
      <c r="E84" t="s">
        <v>3</v>
      </c>
      <c r="F84" t="s">
        <v>93</v>
      </c>
      <c r="G84" t="s">
        <v>55</v>
      </c>
    </row>
    <row r="85" spans="1:7" x14ac:dyDescent="0.25">
      <c r="A85" s="30">
        <v>44821</v>
      </c>
      <c r="B85" t="s">
        <v>152</v>
      </c>
      <c r="C85" s="31">
        <v>7.5</v>
      </c>
      <c r="D85" s="31">
        <f>IF(TableTransactions[[#This Row],[Category Type]]="Expense",-TableTransactions[[#This Row],[Amount]],TableTransactions[[#This Row],[Amount]])</f>
        <v>-7.5</v>
      </c>
      <c r="E85" t="s">
        <v>3</v>
      </c>
      <c r="F85" t="s">
        <v>21</v>
      </c>
      <c r="G85" t="s">
        <v>23</v>
      </c>
    </row>
    <row r="86" spans="1:7" x14ac:dyDescent="0.25">
      <c r="A86" s="30">
        <v>44824</v>
      </c>
      <c r="B86" t="s">
        <v>89</v>
      </c>
      <c r="C86" s="31">
        <v>50</v>
      </c>
      <c r="D86" s="31">
        <f>IF(TableTransactions[[#This Row],[Category Type]]="Expense",-TableTransactions[[#This Row],[Amount]],TableTransactions[[#This Row],[Amount]])</f>
        <v>-50</v>
      </c>
      <c r="E86" t="s">
        <v>3</v>
      </c>
      <c r="F86" t="s">
        <v>14</v>
      </c>
      <c r="G86" t="s">
        <v>19</v>
      </c>
    </row>
    <row r="87" spans="1:7" x14ac:dyDescent="0.25">
      <c r="A87" s="30">
        <v>44824</v>
      </c>
      <c r="B87" t="s">
        <v>89</v>
      </c>
      <c r="C87" s="31">
        <v>0.5</v>
      </c>
      <c r="D87" s="31">
        <f>IF(TableTransactions[[#This Row],[Category Type]]="Expense",-TableTransactions[[#This Row],[Amount]],TableTransactions[[#This Row],[Amount]])</f>
        <v>-0.5</v>
      </c>
      <c r="E87" t="s">
        <v>3</v>
      </c>
      <c r="F87" t="s">
        <v>14</v>
      </c>
      <c r="G87" t="s">
        <v>19</v>
      </c>
    </row>
    <row r="88" spans="1:7" x14ac:dyDescent="0.25">
      <c r="A88" s="30">
        <v>44824</v>
      </c>
      <c r="B88" t="s">
        <v>89</v>
      </c>
      <c r="C88" s="31">
        <v>0.02</v>
      </c>
      <c r="D88" s="31">
        <f>IF(TableTransactions[[#This Row],[Category Type]]="Expense",-TableTransactions[[#This Row],[Amount]],TableTransactions[[#This Row],[Amount]])</f>
        <v>-0.02</v>
      </c>
      <c r="E88" t="s">
        <v>3</v>
      </c>
      <c r="F88" t="s">
        <v>14</v>
      </c>
      <c r="G88" t="s">
        <v>19</v>
      </c>
    </row>
    <row r="89" spans="1:7" x14ac:dyDescent="0.25">
      <c r="A89" s="30">
        <v>44824</v>
      </c>
      <c r="B89" t="s">
        <v>156</v>
      </c>
      <c r="C89" s="31">
        <v>9.3699999999999992</v>
      </c>
      <c r="D89" s="31">
        <f>IF(TableTransactions[[#This Row],[Category Type]]="Expense",-TableTransactions[[#This Row],[Amount]],TableTransactions[[#This Row],[Amount]])</f>
        <v>-9.3699999999999992</v>
      </c>
      <c r="E89" t="s">
        <v>3</v>
      </c>
      <c r="F89" t="s">
        <v>14</v>
      </c>
      <c r="G89" t="s">
        <v>113</v>
      </c>
    </row>
    <row r="90" spans="1:7" x14ac:dyDescent="0.25">
      <c r="A90" s="30">
        <v>44824</v>
      </c>
      <c r="B90" t="s">
        <v>157</v>
      </c>
      <c r="C90" s="31">
        <v>3.84</v>
      </c>
      <c r="D90" s="31">
        <f>IF(TableTransactions[[#This Row],[Category Type]]="Expense",-TableTransactions[[#This Row],[Amount]],TableTransactions[[#This Row],[Amount]])</f>
        <v>-3.84</v>
      </c>
      <c r="E90" t="s">
        <v>3</v>
      </c>
      <c r="F90" t="s">
        <v>14</v>
      </c>
      <c r="G90" t="s">
        <v>113</v>
      </c>
    </row>
    <row r="91" spans="1:7" x14ac:dyDescent="0.25">
      <c r="A91" s="30">
        <v>44826</v>
      </c>
      <c r="B91" t="s">
        <v>152</v>
      </c>
      <c r="C91" s="31">
        <v>7.75</v>
      </c>
      <c r="D91" s="31">
        <f>IF(TableTransactions[[#This Row],[Category Type]]="Expense",-TableTransactions[[#This Row],[Amount]],TableTransactions[[#This Row],[Amount]])</f>
        <v>-7.75</v>
      </c>
      <c r="E91" t="s">
        <v>3</v>
      </c>
      <c r="F91" t="s">
        <v>21</v>
      </c>
      <c r="G91" t="s">
        <v>23</v>
      </c>
    </row>
    <row r="92" spans="1:7" x14ac:dyDescent="0.25">
      <c r="A92" s="30">
        <v>44826</v>
      </c>
      <c r="B92" t="s">
        <v>78</v>
      </c>
      <c r="C92" s="31">
        <v>10</v>
      </c>
      <c r="D92" s="31">
        <f>IF(TableTransactions[[#This Row],[Category Type]]="Expense",-TableTransactions[[#This Row],[Amount]],TableTransactions[[#This Row],[Amount]])</f>
        <v>-10</v>
      </c>
      <c r="E92" t="s">
        <v>3</v>
      </c>
      <c r="F92" t="s">
        <v>6</v>
      </c>
      <c r="G92" t="s">
        <v>46</v>
      </c>
    </row>
    <row r="93" spans="1:7" x14ac:dyDescent="0.25">
      <c r="A93" s="30">
        <v>44826</v>
      </c>
      <c r="B93" t="s">
        <v>22</v>
      </c>
      <c r="C93" s="31">
        <v>9.9</v>
      </c>
      <c r="D93" s="31">
        <f>IF(TableTransactions[[#This Row],[Category Type]]="Expense",-TableTransactions[[#This Row],[Amount]],TableTransactions[[#This Row],[Amount]])</f>
        <v>-9.9</v>
      </c>
      <c r="E93" t="s">
        <v>3</v>
      </c>
      <c r="F93" t="s">
        <v>21</v>
      </c>
      <c r="G93" t="s">
        <v>22</v>
      </c>
    </row>
    <row r="94" spans="1:7" x14ac:dyDescent="0.25">
      <c r="A94" s="30">
        <v>44831</v>
      </c>
      <c r="B94" t="s">
        <v>158</v>
      </c>
      <c r="C94" s="31">
        <v>50</v>
      </c>
      <c r="D94" s="31">
        <f>IF(TableTransactions[[#This Row],[Category Type]]="Expense",-TableTransactions[[#This Row],[Amount]],TableTransactions[[#This Row],[Amount]])</f>
        <v>-50</v>
      </c>
      <c r="E94" t="s">
        <v>3</v>
      </c>
      <c r="F94" t="s">
        <v>6</v>
      </c>
      <c r="G94" t="s">
        <v>44</v>
      </c>
    </row>
    <row r="95" spans="1:7" x14ac:dyDescent="0.25">
      <c r="A95" s="30">
        <v>44832</v>
      </c>
      <c r="B95" t="s">
        <v>90</v>
      </c>
      <c r="C95" s="31">
        <v>38</v>
      </c>
      <c r="D95" s="31">
        <f>IF(TableTransactions[[#This Row],[Category Type]]="Expense",-TableTransactions[[#This Row],[Amount]],TableTransactions[[#This Row],[Amount]])</f>
        <v>-38</v>
      </c>
      <c r="E95" t="s">
        <v>3</v>
      </c>
      <c r="F95" t="s">
        <v>11</v>
      </c>
      <c r="G95" t="s">
        <v>12</v>
      </c>
    </row>
    <row r="96" spans="1:7" x14ac:dyDescent="0.25">
      <c r="A96" s="30">
        <v>44834</v>
      </c>
      <c r="B96" t="s">
        <v>159</v>
      </c>
      <c r="C96" s="31">
        <v>4.9000000000000004</v>
      </c>
      <c r="D96" s="31">
        <f>IF(TableTransactions[[#This Row],[Category Type]]="Expense",-TableTransactions[[#This Row],[Amount]],TableTransactions[[#This Row],[Amount]])</f>
        <v>-4.9000000000000004</v>
      </c>
      <c r="E96" t="s">
        <v>3</v>
      </c>
      <c r="F96" t="s">
        <v>6</v>
      </c>
      <c r="G96" t="s">
        <v>45</v>
      </c>
    </row>
    <row r="97" spans="1:7" x14ac:dyDescent="0.25">
      <c r="A97" s="30">
        <v>44834</v>
      </c>
      <c r="B97" t="s">
        <v>152</v>
      </c>
      <c r="C97" s="31">
        <v>1.4</v>
      </c>
      <c r="D97" s="31">
        <f>IF(TableTransactions[[#This Row],[Category Type]]="Expense",-TableTransactions[[#This Row],[Amount]],TableTransactions[[#This Row],[Amount]])</f>
        <v>-1.4</v>
      </c>
      <c r="E97" t="s">
        <v>3</v>
      </c>
      <c r="F97" t="s">
        <v>21</v>
      </c>
      <c r="G97" t="s">
        <v>23</v>
      </c>
    </row>
    <row r="98" spans="1:7" x14ac:dyDescent="0.25">
      <c r="A98" s="30">
        <v>44835</v>
      </c>
      <c r="B98" t="s">
        <v>34</v>
      </c>
      <c r="C98" s="31">
        <v>200</v>
      </c>
      <c r="D98" s="31">
        <f>IF(TableTransactions[[#This Row],[Category Type]]="Expense",-TableTransactions[[#This Row],[Amount]],TableTransactions[[#This Row],[Amount]])</f>
        <v>-200</v>
      </c>
      <c r="E98" t="s">
        <v>3</v>
      </c>
      <c r="F98" t="s">
        <v>32</v>
      </c>
      <c r="G98" t="s">
        <v>34</v>
      </c>
    </row>
    <row r="99" spans="1:7" x14ac:dyDescent="0.25">
      <c r="A99" s="30">
        <v>44837</v>
      </c>
      <c r="B99" t="s">
        <v>159</v>
      </c>
      <c r="C99" s="31">
        <v>5</v>
      </c>
      <c r="D99" s="31">
        <f>IF(TableTransactions[[#This Row],[Category Type]]="Expense",-TableTransactions[[#This Row],[Amount]],TableTransactions[[#This Row],[Amount]])</f>
        <v>-5</v>
      </c>
      <c r="E99" t="s">
        <v>3</v>
      </c>
      <c r="F99" t="s">
        <v>6</v>
      </c>
      <c r="G99" t="s">
        <v>45</v>
      </c>
    </row>
    <row r="100" spans="1:7" x14ac:dyDescent="0.25">
      <c r="A100" s="30">
        <v>44838</v>
      </c>
      <c r="B100" t="s">
        <v>162</v>
      </c>
      <c r="C100" s="31">
        <v>0.74</v>
      </c>
      <c r="D100" s="31">
        <f>IF(TableTransactions[[#This Row],[Category Type]]="Expense",-TableTransactions[[#This Row],[Amount]],TableTransactions[[#This Row],[Amount]])</f>
        <v>-0.74</v>
      </c>
      <c r="E100" t="s">
        <v>3</v>
      </c>
      <c r="F100" t="s">
        <v>14</v>
      </c>
      <c r="G100" t="s">
        <v>113</v>
      </c>
    </row>
    <row r="101" spans="1:7" x14ac:dyDescent="0.25">
      <c r="A101" s="30">
        <v>44838</v>
      </c>
      <c r="B101" t="s">
        <v>164</v>
      </c>
      <c r="C101" s="31">
        <v>3.09</v>
      </c>
      <c r="D101" s="31">
        <f>IF(TableTransactions[[#This Row],[Category Type]]="Expense",-TableTransactions[[#This Row],[Amount]],TableTransactions[[#This Row],[Amount]])</f>
        <v>-3.09</v>
      </c>
      <c r="E101" t="s">
        <v>3</v>
      </c>
      <c r="F101" t="s">
        <v>21</v>
      </c>
      <c r="G101" t="s">
        <v>23</v>
      </c>
    </row>
    <row r="102" spans="1:7" x14ac:dyDescent="0.25">
      <c r="A102" s="30">
        <v>44839</v>
      </c>
      <c r="B102" t="s">
        <v>159</v>
      </c>
      <c r="C102" s="31">
        <v>5</v>
      </c>
      <c r="D102" s="31">
        <f>IF(TableTransactions[[#This Row],[Category Type]]="Expense",-TableTransactions[[#This Row],[Amount]],TableTransactions[[#This Row],[Amount]])</f>
        <v>-5</v>
      </c>
      <c r="E102" t="s">
        <v>3</v>
      </c>
      <c r="F102" t="s">
        <v>6</v>
      </c>
      <c r="G102" t="s">
        <v>45</v>
      </c>
    </row>
    <row r="103" spans="1:7" x14ac:dyDescent="0.25">
      <c r="A103" s="30">
        <v>44839</v>
      </c>
      <c r="B103" t="s">
        <v>163</v>
      </c>
      <c r="C103" s="31">
        <v>11</v>
      </c>
      <c r="D103" s="31">
        <f>IF(TableTransactions[[#This Row],[Category Type]]="Expense",-TableTransactions[[#This Row],[Amount]],TableTransactions[[#This Row],[Amount]])</f>
        <v>-11</v>
      </c>
      <c r="E103" t="s">
        <v>3</v>
      </c>
      <c r="F103" t="s">
        <v>14</v>
      </c>
      <c r="G103" t="s">
        <v>15</v>
      </c>
    </row>
    <row r="104" spans="1:7" x14ac:dyDescent="0.25">
      <c r="A104" s="30">
        <v>44841</v>
      </c>
      <c r="B104" t="s">
        <v>165</v>
      </c>
      <c r="C104" s="31">
        <v>4.93</v>
      </c>
      <c r="D104" s="31">
        <f>IF(TableTransactions[[#This Row],[Category Type]]="Expense",-TableTransactions[[#This Row],[Amount]],TableTransactions[[#This Row],[Amount]])</f>
        <v>-4.93</v>
      </c>
      <c r="E104" t="s">
        <v>3</v>
      </c>
      <c r="F104" t="s">
        <v>21</v>
      </c>
      <c r="G104" t="s">
        <v>22</v>
      </c>
    </row>
    <row r="105" spans="1:7" x14ac:dyDescent="0.25">
      <c r="A105" s="30">
        <v>44841</v>
      </c>
      <c r="B105" t="s">
        <v>166</v>
      </c>
      <c r="C105" s="31">
        <v>0.94</v>
      </c>
      <c r="D105" s="31">
        <f>IF(TableTransactions[[#This Row],[Category Type]]="Expense",-TableTransactions[[#This Row],[Amount]],TableTransactions[[#This Row],[Amount]])</f>
        <v>-0.94</v>
      </c>
      <c r="E105" t="s">
        <v>3</v>
      </c>
      <c r="F105" t="s">
        <v>14</v>
      </c>
      <c r="G105" t="s">
        <v>113</v>
      </c>
    </row>
    <row r="106" spans="1:7" x14ac:dyDescent="0.25">
      <c r="A106" s="30">
        <v>44841</v>
      </c>
      <c r="B106" t="s">
        <v>167</v>
      </c>
      <c r="C106" s="31">
        <v>4.8899999999999997</v>
      </c>
      <c r="D106" s="31">
        <f>IF(TableTransactions[[#This Row],[Category Type]]="Expense",-TableTransactions[[#This Row],[Amount]],TableTransactions[[#This Row],[Amount]])</f>
        <v>-4.8899999999999997</v>
      </c>
      <c r="E106" t="s">
        <v>3</v>
      </c>
      <c r="F106" t="s">
        <v>21</v>
      </c>
      <c r="G106" t="s">
        <v>23</v>
      </c>
    </row>
    <row r="107" spans="1:7" x14ac:dyDescent="0.25">
      <c r="A107" s="30">
        <v>44841</v>
      </c>
      <c r="B107" t="s">
        <v>159</v>
      </c>
      <c r="C107" s="31">
        <v>5</v>
      </c>
      <c r="D107" s="31">
        <f>IF(TableTransactions[[#This Row],[Category Type]]="Expense",-TableTransactions[[#This Row],[Amount]],TableTransactions[[#This Row],[Amount]])</f>
        <v>-5</v>
      </c>
      <c r="E107" t="s">
        <v>3</v>
      </c>
      <c r="F107" t="s">
        <v>6</v>
      </c>
      <c r="G107" t="s">
        <v>45</v>
      </c>
    </row>
    <row r="108" spans="1:7" x14ac:dyDescent="0.25">
      <c r="A108" s="30">
        <v>44841</v>
      </c>
      <c r="B108" t="s">
        <v>168</v>
      </c>
      <c r="C108" s="31">
        <v>20</v>
      </c>
      <c r="D108" s="31">
        <f>IF(TableTransactions[[#This Row],[Category Type]]="Expense",-TableTransactions[[#This Row],[Amount]],TableTransactions[[#This Row],[Amount]])</f>
        <v>20</v>
      </c>
      <c r="E108" t="s">
        <v>65</v>
      </c>
      <c r="F108" t="s">
        <v>6</v>
      </c>
      <c r="G108" t="s">
        <v>44</v>
      </c>
    </row>
    <row r="109" spans="1:7" x14ac:dyDescent="0.25">
      <c r="A109" s="30">
        <v>44842</v>
      </c>
      <c r="B109" t="s">
        <v>169</v>
      </c>
      <c r="C109" s="31">
        <v>20.18</v>
      </c>
      <c r="D109" s="31">
        <f>IF(TableTransactions[[#This Row],[Category Type]]="Expense",-TableTransactions[[#This Row],[Amount]],TableTransactions[[#This Row],[Amount]])</f>
        <v>-20.18</v>
      </c>
      <c r="E109" t="s">
        <v>3</v>
      </c>
      <c r="F109" t="s">
        <v>14</v>
      </c>
      <c r="G109" t="s">
        <v>113</v>
      </c>
    </row>
    <row r="110" spans="1:7" x14ac:dyDescent="0.25">
      <c r="A110" s="30">
        <v>44843</v>
      </c>
      <c r="B110" t="s">
        <v>89</v>
      </c>
      <c r="C110" s="31">
        <v>50</v>
      </c>
      <c r="D110" s="31">
        <f>IF(TableTransactions[[#This Row],[Category Type]]="Expense",-TableTransactions[[#This Row],[Amount]],TableTransactions[[#This Row],[Amount]])</f>
        <v>-50</v>
      </c>
      <c r="E110" t="s">
        <v>3</v>
      </c>
      <c r="F110" t="s">
        <v>14</v>
      </c>
      <c r="G110" t="s">
        <v>19</v>
      </c>
    </row>
    <row r="111" spans="1:7" x14ac:dyDescent="0.25">
      <c r="A111" s="30">
        <v>44850</v>
      </c>
      <c r="B111" t="s">
        <v>159</v>
      </c>
      <c r="C111" s="31">
        <v>5</v>
      </c>
      <c r="D111" s="31">
        <f>IF(TableTransactions[[#This Row],[Category Type]]="Expense",-TableTransactions[[#This Row],[Amount]],TableTransactions[[#This Row],[Amount]])</f>
        <v>-5</v>
      </c>
      <c r="E111" t="s">
        <v>3</v>
      </c>
      <c r="F111" t="s">
        <v>6</v>
      </c>
      <c r="G111" t="s">
        <v>45</v>
      </c>
    </row>
  </sheetData>
  <phoneticPr fontId="2" type="noConversion"/>
  <dataValidations count="1">
    <dataValidation type="list" allowBlank="1" showInputMessage="1" showErrorMessage="1" sqref="J99" xr:uid="{ACFF21D5-BB09-4747-89A4-36B56FFBB760}">
      <formula1>"list&amp;$E$109"</formula1>
    </dataValidation>
  </dataValidations>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2051" r:id="rId4" name="removeTransaction">
          <controlPr defaultSize="0" autoLine="0" r:id="rId5">
            <anchor moveWithCells="1">
              <from>
                <xdr:col>7</xdr:col>
                <xdr:colOff>609600</xdr:colOff>
                <xdr:row>81</xdr:row>
                <xdr:rowOff>9525</xdr:rowOff>
              </from>
              <to>
                <xdr:col>10</xdr:col>
                <xdr:colOff>333375</xdr:colOff>
                <xdr:row>82</xdr:row>
                <xdr:rowOff>180975</xdr:rowOff>
              </to>
            </anchor>
          </controlPr>
        </control>
      </mc:Choice>
      <mc:Fallback>
        <control shapeId="2051" r:id="rId4" name="removeTransaction"/>
      </mc:Fallback>
    </mc:AlternateContent>
    <mc:AlternateContent xmlns:mc="http://schemas.openxmlformats.org/markup-compatibility/2006">
      <mc:Choice Requires="x14">
        <control shapeId="2050" r:id="rId6" name="newTransaction">
          <controlPr defaultSize="0" autoLine="0" r:id="rId7">
            <anchor moveWithCells="1">
              <from>
                <xdr:col>7</xdr:col>
                <xdr:colOff>609600</xdr:colOff>
                <xdr:row>79</xdr:row>
                <xdr:rowOff>9525</xdr:rowOff>
              </from>
              <to>
                <xdr:col>10</xdr:col>
                <xdr:colOff>19050</xdr:colOff>
                <xdr:row>80</xdr:row>
                <xdr:rowOff>180975</xdr:rowOff>
              </to>
            </anchor>
          </controlPr>
        </control>
      </mc:Choice>
      <mc:Fallback>
        <control shapeId="2050" r:id="rId6" name="newTransaction"/>
      </mc:Fallback>
    </mc:AlternateContent>
  </controls>
  <tableParts count="1">
    <tablePart r:id="rId8"/>
  </tableParts>
  <extLst>
    <ext xmlns:x14="http://schemas.microsoft.com/office/spreadsheetml/2009/9/main" uri="{CCE6A557-97BC-4b89-ADB6-D9C93CAAB3DF}">
      <x14:dataValidations xmlns:xm="http://schemas.microsoft.com/office/excel/2006/main" count="3">
        <x14:dataValidation type="list" allowBlank="1" showInputMessage="1" showErrorMessage="1" xr:uid="{C65CC481-3515-4941-97ED-5E4496F0F0C1}">
          <x14:formula1>
            <xm:f>'Data Validation'!$A$2:$B$2</xm:f>
          </x14:formula1>
          <xm:sqref>E2:E111</xm:sqref>
        </x14:dataValidation>
        <x14:dataValidation type="list" allowBlank="1" showInputMessage="1" showErrorMessage="1" xr:uid="{1C1A7877-7604-4464-8A33-CFDF0A20D1EF}">
          <x14:formula1>
            <xm:f>OFFSET('Data Validation'!$A$2,1,MATCH($E2,'Data Validation'!$A$2:$B$2,0)-1,COUNTA(OFFSET('Data Validation'!$A$2,1,MATCH($E2,'Data Validation'!$A$2:$B$2,0)-1,20,1)),1)</xm:f>
          </x14:formula1>
          <xm:sqref>F2:F111</xm:sqref>
        </x14:dataValidation>
        <x14:dataValidation type="list" allowBlank="1" showInputMessage="1" showErrorMessage="1" xr:uid="{7FBBB982-CE15-4827-9D6C-2A84FED8E99A}">
          <x14:formula1>
            <xm:f>OFFSET('Data Validation'!$D$2,1,MATCH($F2,'Data Validation'!$D$2:$S$2,0)-1,COUNTA(OFFSET('Data Validation'!$D$2,1,MATCH($F2,'Data Validation'!$D$2:$S$2,0)-1,20,1)),1)</xm:f>
          </x14:formula1>
          <xm:sqref>G2:G111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973F3-D53E-4E51-B834-41B4BEBD0327}">
  <sheetPr codeName="Sheet4"/>
  <dimension ref="A1:S22"/>
  <sheetViews>
    <sheetView workbookViewId="0">
      <selection sqref="A1:B1"/>
    </sheetView>
  </sheetViews>
  <sheetFormatPr defaultRowHeight="15" x14ac:dyDescent="0.25"/>
  <cols>
    <col min="1" max="1" width="19" bestFit="1" customWidth="1"/>
    <col min="2" max="2" width="7" bestFit="1" customWidth="1"/>
    <col min="4" max="4" width="12.42578125" bestFit="1" customWidth="1"/>
    <col min="5" max="6" width="12.5703125" bestFit="1" customWidth="1"/>
    <col min="7" max="7" width="16.140625" bestFit="1" customWidth="1"/>
    <col min="8" max="8" width="11.85546875" bestFit="1" customWidth="1"/>
    <col min="9" max="9" width="13.28515625" bestFit="1" customWidth="1"/>
    <col min="10" max="10" width="13.7109375" bestFit="1" customWidth="1"/>
    <col min="11" max="11" width="9" bestFit="1" customWidth="1"/>
    <col min="12" max="12" width="10.140625" bestFit="1" customWidth="1"/>
    <col min="13" max="13" width="8.5703125" bestFit="1" customWidth="1"/>
    <col min="14" max="14" width="14" bestFit="1" customWidth="1"/>
    <col min="15" max="15" width="12.85546875" bestFit="1" customWidth="1"/>
    <col min="16" max="16" width="12.5703125" bestFit="1" customWidth="1"/>
    <col min="17" max="17" width="9.28515625" bestFit="1" customWidth="1"/>
    <col min="19" max="19" width="19" bestFit="1" customWidth="1"/>
    <col min="20" max="20" width="11.28515625" bestFit="1" customWidth="1"/>
  </cols>
  <sheetData>
    <row r="1" spans="1:19" x14ac:dyDescent="0.25">
      <c r="A1" s="24" t="s">
        <v>120</v>
      </c>
      <c r="B1" s="24"/>
      <c r="D1" s="24" t="s">
        <v>121</v>
      </c>
      <c r="E1" s="24"/>
      <c r="F1" s="24"/>
      <c r="G1" s="24"/>
      <c r="H1" s="24"/>
      <c r="I1" s="24"/>
      <c r="J1" s="24"/>
      <c r="K1" s="24"/>
      <c r="L1" s="24"/>
      <c r="M1" s="24"/>
      <c r="N1" s="24"/>
      <c r="O1" s="24"/>
      <c r="P1" s="24"/>
      <c r="Q1" s="24"/>
      <c r="R1" s="25" t="s">
        <v>122</v>
      </c>
      <c r="S1" s="25"/>
    </row>
    <row r="2" spans="1:19" x14ac:dyDescent="0.25">
      <c r="A2" s="17" t="s">
        <v>3</v>
      </c>
      <c r="B2" s="17" t="s">
        <v>65</v>
      </c>
      <c r="D2" s="20" t="s">
        <v>7</v>
      </c>
      <c r="E2" s="20" t="s">
        <v>11</v>
      </c>
      <c r="F2" s="20" t="s">
        <v>14</v>
      </c>
      <c r="G2" s="20" t="s">
        <v>21</v>
      </c>
      <c r="H2" s="20" t="s">
        <v>26</v>
      </c>
      <c r="I2" s="20" t="s">
        <v>27</v>
      </c>
      <c r="J2" s="20" t="s">
        <v>32</v>
      </c>
      <c r="K2" s="20" t="s">
        <v>40</v>
      </c>
      <c r="L2" s="20" t="s">
        <v>6</v>
      </c>
      <c r="M2" s="20" t="s">
        <v>47</v>
      </c>
      <c r="N2" s="20" t="s">
        <v>49</v>
      </c>
      <c r="O2" s="20" t="s">
        <v>93</v>
      </c>
      <c r="P2" s="20" t="s">
        <v>56</v>
      </c>
      <c r="Q2" s="20" t="s">
        <v>59</v>
      </c>
      <c r="R2" s="20" t="s">
        <v>69</v>
      </c>
      <c r="S2" s="20" t="s">
        <v>123</v>
      </c>
    </row>
    <row r="3" spans="1:19" x14ac:dyDescent="0.25">
      <c r="A3" s="17" t="s">
        <v>7</v>
      </c>
      <c r="B3" s="17" t="s">
        <v>69</v>
      </c>
      <c r="D3" s="20" t="s">
        <v>8</v>
      </c>
      <c r="E3" s="20" t="s">
        <v>12</v>
      </c>
      <c r="F3" s="20" t="s">
        <v>13</v>
      </c>
      <c r="G3" s="20" t="s">
        <v>22</v>
      </c>
      <c r="H3" s="20" t="s">
        <v>115</v>
      </c>
      <c r="I3" s="20" t="s">
        <v>102</v>
      </c>
      <c r="J3" s="20" t="s">
        <v>33</v>
      </c>
      <c r="K3" s="20" t="s">
        <v>41</v>
      </c>
      <c r="L3" s="20" t="s">
        <v>43</v>
      </c>
      <c r="M3" s="20" t="s">
        <v>119</v>
      </c>
      <c r="N3" s="20" t="s">
        <v>106</v>
      </c>
      <c r="O3" s="20" t="s">
        <v>52</v>
      </c>
      <c r="P3" s="20" t="s">
        <v>57</v>
      </c>
      <c r="Q3" s="20" t="s">
        <v>60</v>
      </c>
      <c r="R3" s="20" t="s">
        <v>70</v>
      </c>
      <c r="S3" s="20" t="s">
        <v>110</v>
      </c>
    </row>
    <row r="4" spans="1:19" x14ac:dyDescent="0.25">
      <c r="A4" s="17" t="s">
        <v>11</v>
      </c>
      <c r="B4" s="17" t="s">
        <v>6</v>
      </c>
      <c r="D4" s="20" t="s">
        <v>9</v>
      </c>
      <c r="E4" s="20" t="s">
        <v>112</v>
      </c>
      <c r="F4" s="20" t="s">
        <v>96</v>
      </c>
      <c r="G4" s="20" t="s">
        <v>23</v>
      </c>
      <c r="H4" s="20" t="s">
        <v>101</v>
      </c>
      <c r="I4" s="20" t="s">
        <v>28</v>
      </c>
      <c r="J4" s="20" t="s">
        <v>34</v>
      </c>
      <c r="K4" s="20" t="s">
        <v>27</v>
      </c>
      <c r="L4" s="20" t="s">
        <v>44</v>
      </c>
      <c r="M4" s="20" t="s">
        <v>105</v>
      </c>
      <c r="N4" s="20" t="s">
        <v>50</v>
      </c>
      <c r="O4" s="20" t="s">
        <v>107</v>
      </c>
      <c r="P4" s="20" t="s">
        <v>58</v>
      </c>
      <c r="Q4" s="20" t="s">
        <v>61</v>
      </c>
      <c r="R4" s="20" t="s">
        <v>71</v>
      </c>
      <c r="S4" s="20" t="s">
        <v>111</v>
      </c>
    </row>
    <row r="5" spans="1:19" x14ac:dyDescent="0.25">
      <c r="A5" s="17" t="s">
        <v>14</v>
      </c>
      <c r="B5" s="18"/>
      <c r="D5" s="20" t="s">
        <v>10</v>
      </c>
      <c r="E5" s="20" t="s">
        <v>95</v>
      </c>
      <c r="F5" s="20" t="s">
        <v>15</v>
      </c>
      <c r="G5" s="20" t="s">
        <v>98</v>
      </c>
      <c r="H5" s="21"/>
      <c r="I5" s="20" t="s">
        <v>29</v>
      </c>
      <c r="J5" s="20" t="s">
        <v>54</v>
      </c>
      <c r="K5" s="20" t="s">
        <v>32</v>
      </c>
      <c r="L5" s="20" t="s">
        <v>45</v>
      </c>
      <c r="M5" s="20" t="s">
        <v>5</v>
      </c>
      <c r="N5" s="20" t="s">
        <v>51</v>
      </c>
      <c r="O5" s="20" t="s">
        <v>53</v>
      </c>
      <c r="P5" s="20" t="s">
        <v>48</v>
      </c>
      <c r="Q5" s="20" t="s">
        <v>62</v>
      </c>
      <c r="R5" s="20" t="s">
        <v>72</v>
      </c>
      <c r="S5" s="20" t="s">
        <v>66</v>
      </c>
    </row>
    <row r="6" spans="1:19" x14ac:dyDescent="0.25">
      <c r="A6" s="17" t="s">
        <v>21</v>
      </c>
      <c r="B6" s="18"/>
      <c r="D6" s="21"/>
      <c r="E6" s="21"/>
      <c r="F6" s="20" t="s">
        <v>16</v>
      </c>
      <c r="G6" s="20" t="s">
        <v>24</v>
      </c>
      <c r="H6" s="21"/>
      <c r="I6" s="20" t="s">
        <v>103</v>
      </c>
      <c r="J6" s="20" t="s">
        <v>35</v>
      </c>
      <c r="K6" s="20" t="s">
        <v>42</v>
      </c>
      <c r="L6" s="20" t="s">
        <v>46</v>
      </c>
      <c r="M6" s="21"/>
      <c r="N6" s="21"/>
      <c r="O6" s="20" t="s">
        <v>117</v>
      </c>
      <c r="P6" s="20" t="s">
        <v>93</v>
      </c>
      <c r="Q6" s="20" t="s">
        <v>63</v>
      </c>
      <c r="R6" s="21"/>
      <c r="S6" s="20" t="s">
        <v>116</v>
      </c>
    </row>
    <row r="7" spans="1:19" x14ac:dyDescent="0.25">
      <c r="A7" s="17" t="s">
        <v>26</v>
      </c>
      <c r="B7" s="18"/>
      <c r="D7" s="21"/>
      <c r="E7" s="21"/>
      <c r="F7" s="20" t="s">
        <v>17</v>
      </c>
      <c r="G7" s="20" t="s">
        <v>99</v>
      </c>
      <c r="H7" s="21"/>
      <c r="I7" s="20" t="s">
        <v>30</v>
      </c>
      <c r="J7" s="20" t="s">
        <v>104</v>
      </c>
      <c r="K7" s="21"/>
      <c r="L7" s="21"/>
      <c r="M7" s="21"/>
      <c r="N7" s="21"/>
      <c r="O7" s="20" t="s">
        <v>36</v>
      </c>
      <c r="P7" s="20" t="s">
        <v>14</v>
      </c>
      <c r="Q7" s="20" t="s">
        <v>109</v>
      </c>
      <c r="R7" s="21"/>
      <c r="S7" s="20" t="s">
        <v>114</v>
      </c>
    </row>
    <row r="8" spans="1:19" x14ac:dyDescent="0.25">
      <c r="A8" s="17" t="s">
        <v>27</v>
      </c>
      <c r="B8" s="18"/>
      <c r="D8" s="21"/>
      <c r="E8" s="21"/>
      <c r="F8" s="20" t="s">
        <v>18</v>
      </c>
      <c r="G8" s="20" t="s">
        <v>100</v>
      </c>
      <c r="H8" s="21"/>
      <c r="I8" s="20" t="s">
        <v>31</v>
      </c>
      <c r="J8" s="20" t="s">
        <v>118</v>
      </c>
      <c r="K8" s="21"/>
      <c r="L8" s="21"/>
      <c r="M8" s="21"/>
      <c r="N8" s="21"/>
      <c r="O8" s="20" t="s">
        <v>55</v>
      </c>
      <c r="P8" s="21"/>
      <c r="Q8" s="20" t="s">
        <v>64</v>
      </c>
      <c r="R8" s="21"/>
      <c r="S8" s="20" t="s">
        <v>67</v>
      </c>
    </row>
    <row r="9" spans="1:19" x14ac:dyDescent="0.25">
      <c r="A9" s="17" t="s">
        <v>32</v>
      </c>
      <c r="B9" s="18"/>
      <c r="D9" s="21"/>
      <c r="E9" s="21"/>
      <c r="F9" s="20" t="s">
        <v>4</v>
      </c>
      <c r="G9" s="20" t="s">
        <v>25</v>
      </c>
      <c r="H9" s="21"/>
      <c r="I9" s="21"/>
      <c r="J9" s="20" t="s">
        <v>37</v>
      </c>
      <c r="K9" s="21"/>
      <c r="L9" s="21"/>
      <c r="M9" s="21"/>
      <c r="N9" s="21"/>
      <c r="O9" s="20" t="s">
        <v>108</v>
      </c>
      <c r="P9" s="21"/>
      <c r="Q9" s="20"/>
      <c r="R9" s="21"/>
      <c r="S9" s="20" t="s">
        <v>68</v>
      </c>
    </row>
    <row r="10" spans="1:19" x14ac:dyDescent="0.25">
      <c r="A10" s="17" t="s">
        <v>40</v>
      </c>
      <c r="B10" s="18"/>
      <c r="D10" s="21"/>
      <c r="E10" s="21"/>
      <c r="F10" s="20" t="s">
        <v>19</v>
      </c>
      <c r="G10" s="21"/>
      <c r="H10" s="21"/>
      <c r="I10" s="21"/>
      <c r="J10" s="20" t="s">
        <v>38</v>
      </c>
      <c r="K10" s="21"/>
      <c r="L10" s="21"/>
      <c r="M10" s="21"/>
      <c r="N10" s="21"/>
      <c r="O10" s="21"/>
      <c r="P10" s="21"/>
      <c r="Q10" s="21"/>
      <c r="R10" s="21"/>
      <c r="S10" s="21"/>
    </row>
    <row r="11" spans="1:19" x14ac:dyDescent="0.25">
      <c r="A11" s="17" t="s">
        <v>6</v>
      </c>
      <c r="B11" s="18"/>
      <c r="D11" s="21"/>
      <c r="E11" s="21"/>
      <c r="F11" s="20" t="s">
        <v>20</v>
      </c>
      <c r="G11" s="21"/>
      <c r="H11" s="21"/>
      <c r="I11" s="21"/>
      <c r="J11" s="20" t="s">
        <v>39</v>
      </c>
      <c r="K11" s="21"/>
      <c r="L11" s="21"/>
      <c r="M11" s="21"/>
      <c r="N11" s="21"/>
      <c r="O11" s="21"/>
      <c r="P11" s="21"/>
      <c r="Q11" s="21"/>
      <c r="R11" s="21"/>
      <c r="S11" s="21"/>
    </row>
    <row r="12" spans="1:19" x14ac:dyDescent="0.25">
      <c r="A12" s="17" t="s">
        <v>47</v>
      </c>
      <c r="B12" s="18"/>
      <c r="D12" s="21"/>
      <c r="E12" s="21"/>
      <c r="F12" s="20" t="s">
        <v>97</v>
      </c>
      <c r="G12" s="21"/>
      <c r="H12" s="21"/>
      <c r="I12" s="21"/>
      <c r="J12" s="21"/>
      <c r="K12" s="21"/>
      <c r="L12" s="21"/>
      <c r="M12" s="21"/>
      <c r="N12" s="21"/>
      <c r="O12" s="21"/>
      <c r="P12" s="21"/>
      <c r="Q12" s="21"/>
      <c r="R12" s="21"/>
      <c r="S12" s="21"/>
    </row>
    <row r="13" spans="1:19" x14ac:dyDescent="0.25">
      <c r="A13" s="17" t="s">
        <v>49</v>
      </c>
      <c r="B13" s="18"/>
      <c r="D13" s="21"/>
      <c r="E13" s="21"/>
      <c r="F13" s="20" t="s">
        <v>113</v>
      </c>
      <c r="G13" s="21"/>
      <c r="H13" s="21"/>
      <c r="I13" s="21"/>
      <c r="J13" s="21"/>
      <c r="K13" s="21"/>
      <c r="L13" s="21"/>
      <c r="M13" s="21"/>
      <c r="N13" s="21"/>
      <c r="O13" s="21"/>
      <c r="P13" s="21"/>
      <c r="Q13" s="21"/>
      <c r="R13" s="21"/>
      <c r="S13" s="21"/>
    </row>
    <row r="14" spans="1:19" x14ac:dyDescent="0.25">
      <c r="A14" s="17" t="s">
        <v>93</v>
      </c>
      <c r="B14" s="18"/>
      <c r="D14" s="21"/>
      <c r="E14" s="21"/>
      <c r="F14" s="21"/>
      <c r="G14" s="21"/>
      <c r="H14" s="21"/>
      <c r="I14" s="21"/>
      <c r="J14" s="21"/>
      <c r="K14" s="21"/>
      <c r="L14" s="21"/>
      <c r="M14" s="21"/>
      <c r="N14" s="21"/>
      <c r="O14" s="21"/>
      <c r="P14" s="21"/>
      <c r="Q14" s="21"/>
      <c r="R14" s="21"/>
      <c r="S14" s="21"/>
    </row>
    <row r="15" spans="1:19" x14ac:dyDescent="0.25">
      <c r="A15" s="17" t="s">
        <v>56</v>
      </c>
      <c r="B15" s="18"/>
      <c r="D15" s="19"/>
      <c r="E15" s="19"/>
      <c r="F15" s="19"/>
      <c r="G15" s="19"/>
      <c r="H15" s="19"/>
      <c r="I15" s="19"/>
      <c r="J15" s="19"/>
      <c r="K15" s="19"/>
      <c r="L15" s="19"/>
      <c r="M15" s="19"/>
      <c r="N15" s="19"/>
      <c r="O15" s="19"/>
      <c r="P15" s="19"/>
      <c r="Q15" s="19"/>
      <c r="R15" s="19"/>
      <c r="S15" s="19"/>
    </row>
    <row r="16" spans="1:19" x14ac:dyDescent="0.25">
      <c r="A16" s="17" t="s">
        <v>59</v>
      </c>
      <c r="B16" s="18"/>
      <c r="D16" s="19"/>
      <c r="E16" s="19"/>
      <c r="F16" s="19"/>
      <c r="G16" s="19"/>
      <c r="H16" s="19"/>
      <c r="I16" s="19"/>
      <c r="J16" s="19"/>
      <c r="K16" s="19"/>
      <c r="L16" s="19"/>
      <c r="M16" s="19"/>
      <c r="N16" s="19"/>
      <c r="O16" s="19"/>
      <c r="P16" s="19"/>
      <c r="Q16" s="19"/>
      <c r="R16" s="19"/>
      <c r="S16" s="19"/>
    </row>
    <row r="17" spans="1:19" x14ac:dyDescent="0.25">
      <c r="A17" s="17"/>
      <c r="B17" s="19"/>
      <c r="D17" s="19"/>
      <c r="E17" s="19"/>
      <c r="F17" s="19"/>
      <c r="G17" s="19"/>
      <c r="H17" s="19"/>
      <c r="I17" s="19"/>
      <c r="J17" s="19"/>
      <c r="K17" s="19"/>
      <c r="L17" s="19"/>
      <c r="M17" s="19"/>
      <c r="N17" s="19"/>
      <c r="O17" s="19"/>
      <c r="P17" s="19"/>
      <c r="Q17" s="19"/>
      <c r="R17" s="19"/>
      <c r="S17" s="19"/>
    </row>
    <row r="18" spans="1:19" x14ac:dyDescent="0.25">
      <c r="A18" s="17"/>
      <c r="B18" s="19"/>
      <c r="D18" s="19"/>
      <c r="E18" s="19"/>
      <c r="F18" s="19"/>
      <c r="G18" s="19"/>
      <c r="H18" s="19"/>
      <c r="I18" s="19"/>
      <c r="J18" s="19"/>
      <c r="K18" s="19"/>
      <c r="L18" s="19"/>
      <c r="M18" s="19"/>
      <c r="N18" s="19"/>
      <c r="O18" s="19"/>
      <c r="P18" s="19"/>
      <c r="Q18" s="19"/>
      <c r="R18" s="19"/>
      <c r="S18" s="19"/>
    </row>
    <row r="19" spans="1:19" x14ac:dyDescent="0.25">
      <c r="A19" s="17"/>
      <c r="B19" s="19"/>
      <c r="D19" s="19"/>
      <c r="E19" s="19"/>
      <c r="F19" s="19"/>
      <c r="G19" s="19"/>
      <c r="H19" s="19"/>
      <c r="I19" s="19"/>
      <c r="J19" s="19"/>
      <c r="K19" s="19"/>
      <c r="L19" s="19"/>
      <c r="M19" s="19"/>
      <c r="N19" s="19"/>
      <c r="O19" s="19"/>
      <c r="P19" s="19"/>
      <c r="Q19" s="19"/>
      <c r="R19" s="19"/>
      <c r="S19" s="19"/>
    </row>
    <row r="20" spans="1:19" x14ac:dyDescent="0.25">
      <c r="A20" s="17"/>
      <c r="B20" s="19"/>
      <c r="D20" s="19"/>
      <c r="E20" s="19"/>
      <c r="F20" s="19"/>
      <c r="G20" s="19"/>
      <c r="H20" s="19"/>
      <c r="I20" s="19"/>
      <c r="J20" s="19"/>
      <c r="K20" s="19"/>
      <c r="L20" s="19"/>
      <c r="M20" s="19"/>
      <c r="N20" s="19"/>
      <c r="O20" s="19"/>
      <c r="P20" s="19"/>
      <c r="Q20" s="19"/>
      <c r="R20" s="19"/>
      <c r="S20" s="19"/>
    </row>
    <row r="21" spans="1:19" x14ac:dyDescent="0.25">
      <c r="A21" s="17"/>
      <c r="B21" s="19"/>
      <c r="D21" s="19"/>
      <c r="E21" s="19"/>
      <c r="F21" s="19"/>
      <c r="G21" s="19"/>
      <c r="H21" s="19"/>
      <c r="I21" s="19"/>
      <c r="J21" s="19"/>
      <c r="K21" s="19"/>
      <c r="L21" s="19"/>
      <c r="M21" s="19"/>
      <c r="N21" s="19"/>
      <c r="O21" s="19"/>
      <c r="P21" s="19"/>
      <c r="Q21" s="19"/>
      <c r="R21" s="19"/>
      <c r="S21" s="19"/>
    </row>
    <row r="22" spans="1:19" x14ac:dyDescent="0.25">
      <c r="A22" s="17"/>
      <c r="B22" s="19"/>
      <c r="D22" s="19"/>
      <c r="E22" s="19"/>
      <c r="F22" s="19"/>
      <c r="G22" s="19"/>
      <c r="H22" s="19"/>
      <c r="I22" s="19"/>
      <c r="J22" s="19"/>
      <c r="K22" s="19"/>
      <c r="L22" s="19"/>
      <c r="M22" s="19"/>
      <c r="N22" s="19"/>
      <c r="O22" s="19"/>
      <c r="P22" s="19"/>
      <c r="Q22" s="19"/>
      <c r="R22" s="19"/>
      <c r="S22" s="19"/>
    </row>
  </sheetData>
  <mergeCells count="3">
    <mergeCell ref="A1:B1"/>
    <mergeCell ref="D1:Q1"/>
    <mergeCell ref="R1:S1"/>
  </mergeCells>
  <conditionalFormatting sqref="D3:D5">
    <cfRule type="duplicateValues" dxfId="26" priority="15"/>
  </conditionalFormatting>
  <conditionalFormatting sqref="E3:E5">
    <cfRule type="duplicateValues" dxfId="25" priority="14"/>
  </conditionalFormatting>
  <conditionalFormatting sqref="F3:F13">
    <cfRule type="duplicateValues" dxfId="24" priority="13"/>
  </conditionalFormatting>
  <conditionalFormatting sqref="G3:G9">
    <cfRule type="duplicateValues" dxfId="23" priority="12"/>
  </conditionalFormatting>
  <conditionalFormatting sqref="H3:H4">
    <cfRule type="duplicateValues" dxfId="22" priority="11"/>
  </conditionalFormatting>
  <conditionalFormatting sqref="I3:I8">
    <cfRule type="duplicateValues" dxfId="21" priority="10"/>
  </conditionalFormatting>
  <conditionalFormatting sqref="J3:J11">
    <cfRule type="duplicateValues" dxfId="20" priority="9"/>
  </conditionalFormatting>
  <conditionalFormatting sqref="K3:K6">
    <cfRule type="duplicateValues" dxfId="19" priority="8"/>
  </conditionalFormatting>
  <conditionalFormatting sqref="L3:L6">
    <cfRule type="duplicateValues" dxfId="18" priority="7"/>
  </conditionalFormatting>
  <conditionalFormatting sqref="M3:M5">
    <cfRule type="duplicateValues" dxfId="17" priority="6"/>
  </conditionalFormatting>
  <conditionalFormatting sqref="N3:N5">
    <cfRule type="duplicateValues" dxfId="16" priority="5"/>
  </conditionalFormatting>
  <conditionalFormatting sqref="O3:O9">
    <cfRule type="duplicateValues" dxfId="15" priority="4"/>
  </conditionalFormatting>
  <conditionalFormatting sqref="P3:P7">
    <cfRule type="duplicateValues" dxfId="14" priority="3"/>
  </conditionalFormatting>
  <conditionalFormatting sqref="Q3:Q9">
    <cfRule type="duplicateValues" dxfId="13" priority="2"/>
  </conditionalFormatting>
  <conditionalFormatting sqref="R3:R5 S3:S9">
    <cfRule type="duplicateValues" dxfId="12"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Expenses</vt:lpstr>
      <vt:lpstr>Income</vt:lpstr>
      <vt:lpstr>Analysis</vt:lpstr>
      <vt:lpstr>Transactions</vt:lpstr>
      <vt:lpstr>Data 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Djoze</dc:creator>
  <cp:lastModifiedBy>Djoze</cp:lastModifiedBy>
  <dcterms:created xsi:type="dcterms:W3CDTF">2022-09-29T22:46:52Z</dcterms:created>
  <dcterms:modified xsi:type="dcterms:W3CDTF">2022-10-16T14:18:07Z</dcterms:modified>
</cp:coreProperties>
</file>